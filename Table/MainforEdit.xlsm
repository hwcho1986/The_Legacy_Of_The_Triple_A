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4\06\11\Table\"/>
    </mc:Choice>
  </mc:AlternateContent>
  <xr:revisionPtr revIDLastSave="0" documentId="13_ncr:1_{A7FC4EC5-51E5-4ECD-ADCE-76E6CE078B0E}" xr6:coauthVersionLast="47" xr6:coauthVersionMax="47" xr10:uidLastSave="{00000000-0000-0000-0000-000000000000}"/>
  <bookViews>
    <workbookView xWindow="28680" yWindow="-120" windowWidth="29040" windowHeight="15720" xr2:uid="{EAC84666-84CF-41AA-A9FC-FCDEE74E00C9}"/>
  </bookViews>
  <sheets>
    <sheet name="MainForEdit" sheetId="2" r:id="rId1"/>
    <sheet name="Export" sheetId="3" r:id="rId2"/>
  </sheets>
  <definedNames>
    <definedName name="_xlnm._FilterDatabase" localSheetId="0" hidden="1">MainForEdit!$B$1:$B$136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30" i="2"/>
  <c r="C28" i="2"/>
  <c r="C5" i="2"/>
  <c r="C4" i="2"/>
  <c r="C3" i="2"/>
  <c r="D3" i="3"/>
  <c r="J33" i="2" l="1"/>
  <c r="I33" i="2"/>
  <c r="C109" i="2"/>
  <c r="C105" i="2"/>
  <c r="C99" i="2"/>
  <c r="C97" i="2" l="1"/>
  <c r="C26" i="2"/>
  <c r="C20" i="2"/>
  <c r="C14" i="2"/>
  <c r="C12" i="2"/>
  <c r="C33" i="2"/>
  <c r="C22" i="2"/>
  <c r="C18" i="2"/>
  <c r="C16" i="2"/>
  <c r="C13" i="2"/>
  <c r="C9" i="2"/>
  <c r="C127" i="2"/>
  <c r="C123" i="2"/>
  <c r="C118" i="2"/>
  <c r="C115" i="2"/>
  <c r="C113" i="2"/>
  <c r="C103" i="2"/>
  <c r="C89" i="2"/>
  <c r="C87" i="2"/>
  <c r="C114" i="2"/>
  <c r="C112" i="2"/>
  <c r="C102" i="2"/>
  <c r="C133" i="2"/>
  <c r="C129" i="2"/>
  <c r="C126" i="2"/>
  <c r="C121" i="2"/>
  <c r="C85" i="2"/>
  <c r="C82" i="2"/>
  <c r="C81" i="2"/>
  <c r="C79" i="2"/>
  <c r="C78" i="2"/>
  <c r="C76" i="2"/>
  <c r="C74" i="2"/>
  <c r="C73" i="2"/>
  <c r="C69" i="2"/>
  <c r="C66" i="2"/>
  <c r="C64" i="2"/>
  <c r="C57" i="2"/>
  <c r="C53" i="2"/>
  <c r="C52" i="2"/>
  <c r="C23" i="2"/>
</calcChain>
</file>

<file path=xl/sharedStrings.xml><?xml version="1.0" encoding="utf-8"?>
<sst xmlns="http://schemas.openxmlformats.org/spreadsheetml/2006/main" count="641" uniqueCount="206">
  <si>
    <t>RowName</t>
    <phoneticPr fontId="4" type="noConversion"/>
  </si>
  <si>
    <t>Category</t>
  </si>
  <si>
    <t>Index</t>
  </si>
  <si>
    <t>NextLink</t>
  </si>
  <si>
    <t>value1</t>
  </si>
  <si>
    <t>value2</t>
  </si>
  <si>
    <t>value3</t>
  </si>
  <si>
    <t>value4</t>
  </si>
  <si>
    <t>value5</t>
  </si>
  <si>
    <t>value6</t>
  </si>
  <si>
    <t>value7</t>
  </si>
  <si>
    <t>value8</t>
  </si>
  <si>
    <t>비고 (설명)</t>
  </si>
  <si>
    <t>BGM</t>
  </si>
  <si>
    <t>camera_fade</t>
  </si>
  <si>
    <t>Out</t>
  </si>
  <si>
    <t>Subtitle</t>
    <phoneticPr fontId="4" type="noConversion"/>
  </si>
  <si>
    <t>screen</t>
  </si>
  <si>
    <t>Subtitle</t>
  </si>
  <si>
    <t>Wait</t>
    <phoneticPr fontId="4" type="noConversion"/>
  </si>
  <si>
    <t>SFX</t>
  </si>
  <si>
    <t>wait</t>
    <phoneticPr fontId="4" type="noConversion"/>
  </si>
  <si>
    <t>In</t>
  </si>
  <si>
    <t>LevelObject</t>
  </si>
  <si>
    <t>Speaking</t>
  </si>
  <si>
    <t>Idle</t>
  </si>
  <si>
    <t>None</t>
  </si>
  <si>
    <t>Transform</t>
  </si>
  <si>
    <t>moveLevel</t>
    <phoneticPr fontId="4" type="noConversion"/>
  </si>
  <si>
    <t>Notice</t>
    <phoneticPr fontId="3" type="noConversion"/>
  </si>
  <si>
    <t>Off|(0,0,0)</t>
    <phoneticPr fontId="3" type="noConversion"/>
  </si>
  <si>
    <t>ch01_vendingmachine</t>
    <phoneticPr fontId="3" type="noConversion"/>
  </si>
  <si>
    <t>ch01_erasewall</t>
    <phoneticPr fontId="3" type="noConversion"/>
  </si>
  <si>
    <t>LevelObject</t>
    <phoneticPr fontId="3" type="noConversion"/>
  </si>
  <si>
    <t>Ch01_01_BGM_On</t>
    <phoneticPr fontId="3" type="noConversion"/>
  </si>
  <si>
    <t>Ch01_01_BGM_Off</t>
    <phoneticPr fontId="3" type="noConversion"/>
  </si>
  <si>
    <t>camera_fade</t>
    <phoneticPr fontId="3" type="noConversion"/>
  </si>
  <si>
    <t>NPC_resist</t>
    <phoneticPr fontId="3" type="noConversion"/>
  </si>
  <si>
    <t>NPC_help</t>
    <phoneticPr fontId="3" type="noConversion"/>
  </si>
  <si>
    <t>Ch01_02_BGM_On</t>
  </si>
  <si>
    <t>Ch01_02_BGM_Off</t>
    <phoneticPr fontId="3" type="noConversion"/>
  </si>
  <si>
    <t>Sad_03</t>
    <phoneticPr fontId="3" type="noConversion"/>
  </si>
  <si>
    <t>Sad_02</t>
    <phoneticPr fontId="3" type="noConversion"/>
  </si>
  <si>
    <t>FLASE</t>
    <phoneticPr fontId="3" type="noConversion"/>
  </si>
  <si>
    <t>JustChangeAnimation</t>
    <phoneticPr fontId="4" type="noConversion"/>
  </si>
  <si>
    <t>In</t>
    <phoneticPr fontId="4" type="noConversion"/>
  </si>
  <si>
    <t>Notice</t>
    <phoneticPr fontId="4" type="noConversion"/>
  </si>
  <si>
    <t>Touch</t>
  </si>
  <si>
    <t>(Hand_L)</t>
    <phoneticPr fontId="4" type="noConversion"/>
  </si>
  <si>
    <t>Off|(0,0,0)</t>
    <phoneticPr fontId="4" type="noConversion"/>
  </si>
  <si>
    <t>camera_fade</t>
    <phoneticPr fontId="4" type="noConversion"/>
  </si>
  <si>
    <t>Subtitle</t>
    <phoneticPr fontId="3" type="noConversion"/>
  </si>
  <si>
    <t>Wait</t>
    <phoneticPr fontId="3" type="noConversion"/>
  </si>
  <si>
    <t>screen</t>
    <phoneticPr fontId="3" type="noConversion"/>
  </si>
  <si>
    <t>Ch01_01_AMB_On</t>
  </si>
  <si>
    <t>Amb</t>
    <phoneticPr fontId="3" type="noConversion"/>
  </si>
  <si>
    <t>Ch01_01_AMB_Off</t>
  </si>
  <si>
    <t>Ch01_01_AMB_Off</t>
    <phoneticPr fontId="3" type="noConversion"/>
  </si>
  <si>
    <t>SFX</t>
    <phoneticPr fontId="3" type="noConversion"/>
  </si>
  <si>
    <t>Choice</t>
    <phoneticPr fontId="3" type="noConversion"/>
  </si>
  <si>
    <r>
      <t>NPC_</t>
    </r>
    <r>
      <rPr>
        <sz val="10"/>
        <color rgb="FF000000"/>
        <rFont val="맑은 고딕"/>
        <family val="3"/>
        <charset val="129"/>
      </rPr>
      <t>fall</t>
    </r>
    <phoneticPr fontId="3" type="noConversion"/>
  </si>
  <si>
    <t>NPC_fall</t>
    <phoneticPr fontId="3" type="noConversion"/>
  </si>
  <si>
    <t>Map_Chapter01_Scene01</t>
    <phoneticPr fontId="3" type="noConversion"/>
  </si>
  <si>
    <t>Map_Chapter01_Scene02</t>
    <phoneticPr fontId="3" type="noConversion"/>
  </si>
  <si>
    <t>Chapter01_wall_down_idle</t>
  </si>
  <si>
    <t>Chapter01_wall_down_resist</t>
  </si>
  <si>
    <t>Chapter01_wall_down_help</t>
  </si>
  <si>
    <t>Chapter01_Wall_Raise_Up</t>
  </si>
  <si>
    <t>On|(-176,62,102)</t>
    <phoneticPr fontId="4" type="noConversion"/>
  </si>
  <si>
    <t>Ch1_SpillCoke</t>
    <phoneticPr fontId="3" type="noConversion"/>
  </si>
  <si>
    <t>Ch1_Crack</t>
    <phoneticPr fontId="3" type="noConversion"/>
  </si>
  <si>
    <t>Ch1_ComputerRepair</t>
    <phoneticPr fontId="3" type="noConversion"/>
  </si>
  <si>
    <t>Ch1_Footstep_Ken_Walk_01</t>
    <phoneticPr fontId="4" type="noConversion"/>
  </si>
  <si>
    <t>Ch1_VendingMachine_Coin</t>
    <phoneticPr fontId="4" type="noConversion"/>
  </si>
  <si>
    <t>Ch1_VendingMachine_Can</t>
    <phoneticPr fontId="4" type="noConversion"/>
  </si>
  <si>
    <t>Ch1_Footstep_Gang_Run</t>
    <phoneticPr fontId="4" type="noConversion"/>
  </si>
  <si>
    <t>Ch1_Hand_Miyuki</t>
    <phoneticPr fontId="3" type="noConversion"/>
  </si>
  <si>
    <t>Ch1_Jacket_Give</t>
    <phoneticPr fontId="4" type="noConversion"/>
  </si>
  <si>
    <t>Ch1_Footstep_Ken_Walk_02</t>
    <phoneticPr fontId="3" type="noConversion"/>
  </si>
  <si>
    <t>Ch1_Moan</t>
    <phoneticPr fontId="3" type="noConversion"/>
  </si>
  <si>
    <t>Ch1_Crush_Notebook</t>
    <phoneticPr fontId="4" type="noConversion"/>
  </si>
  <si>
    <t>(Head)</t>
    <phoneticPr fontId="4" type="noConversion"/>
  </si>
  <si>
    <t>(Breast_L,Breast_R)</t>
    <phoneticPr fontId="4" type="noConversion"/>
  </si>
  <si>
    <t>value9</t>
    <phoneticPr fontId="3" type="noConversion"/>
  </si>
  <si>
    <t>Head_whisk</t>
  </si>
  <si>
    <t>Breast_whisk</t>
  </si>
  <si>
    <t>((Content="앞 자판기에서",Link="24"),(Content="콜라 뽑아 마셔야지.",Link="24"))</t>
  </si>
  <si>
    <t>Name_Ken</t>
  </si>
  <si>
    <t>Ch01_Subtitle_001</t>
  </si>
  <si>
    <t/>
  </si>
  <si>
    <t>Ch01_Subtitle_002</t>
  </si>
  <si>
    <t>Ch1_01_02</t>
  </si>
  <si>
    <t>Ch01_Subtitle_003</t>
  </si>
  <si>
    <t>Ch01_Subtitle_004</t>
  </si>
  <si>
    <t>Ch1_01_03</t>
  </si>
  <si>
    <t>Ch01_Subtitle_005</t>
  </si>
  <si>
    <t>Ch01_Subtitle_006</t>
  </si>
  <si>
    <t>Ch01_Choice_01_1</t>
  </si>
  <si>
    <t>Ch01_Choice_01_2</t>
  </si>
  <si>
    <t>Ch01_LevelObject_vendingmachine</t>
  </si>
  <si>
    <t>Name_Miyuki</t>
  </si>
  <si>
    <t>Ch01_Speaking_001</t>
  </si>
  <si>
    <t>Name_Gang</t>
  </si>
  <si>
    <t>Ch01_Speaking_002</t>
  </si>
  <si>
    <t>Name_Question</t>
    <phoneticPr fontId="3" type="noConversion"/>
  </si>
  <si>
    <t>ch01_01_hate01-1</t>
  </si>
  <si>
    <t>ch01_gang02-1</t>
  </si>
  <si>
    <t>Ch01_Subtitle_007</t>
  </si>
  <si>
    <t>Ch01_Speaking_003</t>
  </si>
  <si>
    <t>ch01_gang05-1</t>
  </si>
  <si>
    <t>Ch01_Speaking_004</t>
  </si>
  <si>
    <t>Chapter01_Miyuki_002-1</t>
  </si>
  <si>
    <t>Ch01_Speaking_005</t>
  </si>
  <si>
    <t>Chapter01_Miyuki_003</t>
  </si>
  <si>
    <t>Ch01_Subtitle_008</t>
  </si>
  <si>
    <t>Ch1_02_01</t>
  </si>
  <si>
    <t>Ch01_Subtitle_009</t>
    <phoneticPr fontId="3" type="noConversion"/>
  </si>
  <si>
    <t>Ch1_02_02</t>
  </si>
  <si>
    <t>Ch01_Speaking_006</t>
  </si>
  <si>
    <t>ch01_gang11</t>
  </si>
  <si>
    <t>Ch01_Speaking_007</t>
  </si>
  <si>
    <t>ch01_gang16</t>
  </si>
  <si>
    <t>Ch1_02_03</t>
  </si>
  <si>
    <t>Ch01_Subtitle_010</t>
  </si>
  <si>
    <t>Ch01_Subtitle_011</t>
  </si>
  <si>
    <t>Ch01_Touch_001</t>
    <phoneticPr fontId="3" type="noConversion"/>
  </si>
  <si>
    <t>Ch01_Speaking_010</t>
  </si>
  <si>
    <t>Chapter01_Miyuki_004</t>
  </si>
  <si>
    <t>Ch01_LevelObject_headdust</t>
    <phoneticPr fontId="3" type="noConversion"/>
  </si>
  <si>
    <t>Ch01_LevelObject_bodydust</t>
  </si>
  <si>
    <t>Ch01_Speaking_011</t>
  </si>
  <si>
    <t>Chapter01_Miyuki_005</t>
  </si>
  <si>
    <t>Ch01_Subtitle_013</t>
  </si>
  <si>
    <t>Ch01_Speaking_012</t>
  </si>
  <si>
    <t>Chapter01_Miyuki_006</t>
  </si>
  <si>
    <t>Ch01_Subtitle_014</t>
  </si>
  <si>
    <t>Ch01_Subtitle_015</t>
  </si>
  <si>
    <t>Ch1_03_01</t>
  </si>
  <si>
    <t>Ch01_Subtitle_016</t>
  </si>
  <si>
    <t>Ch1_03_02</t>
  </si>
  <si>
    <t>Ch01_Subtitle_017</t>
  </si>
  <si>
    <t>Ch1_03_03</t>
  </si>
  <si>
    <t>Ch1_01_01</t>
    <phoneticPr fontId="3" type="noConversion"/>
  </si>
  <si>
    <t>Ch1_ThrowNotebook</t>
    <phoneticPr fontId="4" type="noConversion"/>
  </si>
  <si>
    <t>Ch01_Subtitle_011_01</t>
    <phoneticPr fontId="3" type="noConversion"/>
  </si>
  <si>
    <t>Ch01_Subtitle_011_02</t>
    <phoneticPr fontId="3" type="noConversion"/>
  </si>
  <si>
    <t>Ch01_LevelObject_choice</t>
    <phoneticPr fontId="3" type="noConversion"/>
  </si>
  <si>
    <t>Tutorial</t>
    <phoneticPr fontId="3" type="noConversion"/>
  </si>
  <si>
    <t>Tutorial_BT</t>
    <phoneticPr fontId="3" type="noConversion"/>
  </si>
  <si>
    <t>On|(20,940,160)</t>
    <phoneticPr fontId="4" type="noConversion"/>
  </si>
  <si>
    <t>(X=20,Y=940,Z=150)</t>
    <phoneticPr fontId="4" type="noConversion"/>
  </si>
  <si>
    <t>On|(-31,380,148)</t>
    <phoneticPr fontId="3" type="noConversion"/>
  </si>
  <si>
    <t>Tutorial_Choice</t>
    <phoneticPr fontId="3" type="noConversion"/>
  </si>
  <si>
    <t>Chapter01_wall_standing_idle</t>
    <phoneticPr fontId="3" type="noConversion"/>
  </si>
  <si>
    <t>Chapter01_wall_money</t>
    <phoneticPr fontId="3" type="noConversion"/>
  </si>
  <si>
    <t>On|(-205,64,175)</t>
    <phoneticPr fontId="4" type="noConversion"/>
  </si>
  <si>
    <t>On|(-203,59,136)</t>
    <phoneticPr fontId="4" type="noConversion"/>
  </si>
  <si>
    <t>Map_Chapter01_Scene02</t>
  </si>
  <si>
    <t>Map_Chapter02_Scene01</t>
  </si>
  <si>
    <t>Name_Ken</t>
    <phoneticPr fontId="3" type="noConversion"/>
  </si>
  <si>
    <t>Shame_03</t>
    <phoneticPr fontId="4" type="noConversion"/>
  </si>
  <si>
    <t>Sad_01_f</t>
    <phoneticPr fontId="4" type="noConversion"/>
  </si>
  <si>
    <t>Player|(15,365,170)|(0,0,180)</t>
    <phoneticPr fontId="3" type="noConversion"/>
  </si>
  <si>
    <t>Player|(10,245,145)|(0,0,-140)</t>
    <phoneticPr fontId="3" type="noConversion"/>
  </si>
  <si>
    <t>Chapter01_wall_down_hand,Sad_02,FLASE</t>
    <phoneticPr fontId="3" type="noConversion"/>
  </si>
  <si>
    <t>Chapter01_wall_down_hand01,Sad_02,FLASE</t>
    <phoneticPr fontId="3" type="noConversion"/>
  </si>
  <si>
    <t>Chapter01_wall_panic,Shame_03_f,TRUE</t>
    <phoneticPr fontId="3" type="noConversion"/>
  </si>
  <si>
    <t>버튼을 눌러 진행하세요.</t>
  </si>
  <si>
    <t>내 이름은 마츠다 켄.
예보니 대학교 2학년이다.</t>
  </si>
  <si>
    <t>켄</t>
  </si>
  <si>
    <t>며칠 전 게임을 하던 중,
실수로 노트북에 음료를 쏟아 버렸고</t>
  </si>
  <si>
    <t>고장나서 수리를 맡길 수 밖에 없었다.</t>
  </si>
  <si>
    <t>그리고 오늘,
드디어 수리 완료된 노트북을 받았다!</t>
  </si>
  <si>
    <t>으. 수리하는데 대체 얼마나 든 거야?</t>
  </si>
  <si>
    <t>아- 속 쓰리네…</t>
  </si>
  <si>
    <t>앞 자판기에서</t>
  </si>
  <si>
    <t>콜라 뽑아 마셔야지.</t>
  </si>
  <si>
    <t>버튼을 눌러 콜라를 뽑자.</t>
  </si>
  <si>
    <t>꺄악!</t>
  </si>
  <si>
    <t>???</t>
  </si>
  <si>
    <t>가만히있어!</t>
  </si>
  <si>
    <t>불량배</t>
  </si>
  <si>
    <t>여자 비명?</t>
  </si>
  <si>
    <t>저항하지마!</t>
  </si>
  <si>
    <t>이러지 마세요. 부탁이에요…!</t>
  </si>
  <si>
    <t>미유키</t>
  </si>
  <si>
    <t>앗, 저기! 저 좀 살려주세요!</t>
  </si>
  <si>
    <t>가녀린 여자에게 무슨 짓이냐!</t>
  </si>
  <si>
    <t>받아라! 필살 던지기!~
앗! 내 노트북!?</t>
  </si>
  <si>
    <t>으악!</t>
  </si>
  <si>
    <t>미친개 마, 마츠다 켄?! 제, 젠장!</t>
  </si>
  <si>
    <t>아이 씨. 방금 고친 노트북인데.</t>
  </si>
  <si>
    <t>으… 고치기 전보다 더 박살났네.</t>
  </si>
  <si>
    <t>(많이 놀란 듯 하다. 일으켜주자.)</t>
  </si>
  <si>
    <t>미유키의 손을 잡아주자.</t>
  </si>
  <si>
    <t>저기, 우리 학교 마츠다 군 맞지?</t>
  </si>
  <si>
    <t>(먼지를 털어주자.)</t>
  </si>
  <si>
    <t>머리에 묻은 먼지를 털어주자.</t>
  </si>
  <si>
    <t>가슴에 묻은 먼지를 털어주자.</t>
  </si>
  <si>
    <t>어디 다친 곳은 없어?</t>
  </si>
  <si>
    <t>노트북이 다쳤어. 물어내.</t>
  </si>
  <si>
    <t>어? 마츠다군, 내, 내가 지금
당장은 돈이 없는데 어쩌지…?</t>
  </si>
  <si>
    <t>돈이 없으면 다른 걸로 갚든지.</t>
  </si>
  <si>
    <t>(당황해 하는 모습이 꽤 귀엽군.)</t>
  </si>
  <si>
    <t>됐어, 장난이야. 이거라도 걸쳐라.</t>
  </si>
  <si>
    <t>이제 난 간다.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</si>
</sst>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scheme val="minor"/>
    </font>
    <font>
      <sz val="10"/>
      <color rgb="FFFFFFFF"/>
      <name val="Malgun Gothic Semilight"/>
      <family val="2"/>
      <charset val="129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color rgb="FFFFFFFF"/>
      <name val="Malgun Gothic Semilight"/>
      <family val="3"/>
      <charset val="129"/>
    </font>
    <font>
      <sz val="10"/>
      <color rgb="FF000000"/>
      <name val="Malgun Gothic Semilight"/>
      <family val="3"/>
      <charset val="129"/>
    </font>
    <font>
      <sz val="10"/>
      <color theme="1"/>
      <name val="Malgun Gothic Semilight"/>
      <family val="3"/>
      <charset val="129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sz val="10"/>
      <color rgb="FF000000"/>
      <name val="Malgun Gothic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3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1" fillId="0" borderId="0" xfId="1"/>
    <xf numFmtId="0" fontId="2" fillId="2" borderId="0" xfId="1" applyFont="1" applyFill="1" applyAlignment="1">
      <alignment vertical="center"/>
    </xf>
    <xf numFmtId="0" fontId="5" fillId="2" borderId="0" xfId="1" applyFont="1" applyFill="1" applyAlignment="1">
      <alignment horizontal="right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left" vertical="center"/>
    </xf>
    <xf numFmtId="0" fontId="6" fillId="0" borderId="0" xfId="1" applyFont="1"/>
    <xf numFmtId="0" fontId="6" fillId="0" borderId="0" xfId="0" applyFont="1" applyAlignment="1">
      <alignment horizontal="righ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/>
    <xf numFmtId="0" fontId="11" fillId="0" borderId="0" xfId="0" applyFont="1">
      <alignment vertical="center"/>
    </xf>
    <xf numFmtId="0" fontId="12" fillId="0" borderId="0" xfId="0" applyFont="1" applyAlignment="1">
      <alignment horizontal="right"/>
    </xf>
    <xf numFmtId="0" fontId="2" fillId="2" borderId="0" xfId="1" applyFont="1" applyFill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wrapText="1"/>
    </xf>
  </cellXfs>
  <cellStyles count="2">
    <cellStyle name="표준" xfId="0" builtinId="0"/>
    <cellStyle name="표준 2" xfId="1" xr:uid="{66D45C7A-D620-4E44-9329-A8C82217F6C6}"/>
  </cellStyles>
  <dxfs count="17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3"/>
        </patternFill>
      </fill>
    </dxf>
    <dxf>
      <font>
        <b val="0"/>
        <i/>
        <color rgb="FFFF0000"/>
      </font>
    </dxf>
    <dxf>
      <font>
        <b val="0"/>
        <i/>
        <strike val="0"/>
        <u val="none"/>
        <color theme="4"/>
      </font>
    </dxf>
    <dxf>
      <font>
        <b val="0"/>
        <i/>
        <color theme="7" tint="-0.24994659260841701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9525</xdr:rowOff>
        </xdr:from>
        <xdr:to>
          <xdr:col>8</xdr:col>
          <xdr:colOff>581025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5B97-9422-474D-A557-D4F3E77A6546}">
  <sheetPr codeName="Sheet1">
    <outlinePr summaryBelow="0" summaryRight="0"/>
  </sheetPr>
  <dimension ref="A1:P136"/>
  <sheetViews>
    <sheetView tabSelected="1" zoomScale="70" zoomScaleNormal="70" workbookViewId="0">
      <pane ySplit="1" topLeftCell="A30" activePane="bottomLeft" state="frozen"/>
      <selection pane="bottomLeft" activeCell="O52" sqref="O52"/>
    </sheetView>
  </sheetViews>
  <sheetFormatPr defaultColWidth="11" defaultRowHeight="13.5"/>
  <cols>
    <col min="1" max="1" width="4.75" style="4" customWidth="1"/>
    <col min="2" max="2" width="11.375" style="4" bestFit="1" customWidth="1"/>
    <col min="3" max="3" width="22.75" style="4" bestFit="1" customWidth="1"/>
    <col min="4" max="4" width="7.625" style="4" bestFit="1" customWidth="1"/>
    <col min="5" max="5" width="17" style="6" customWidth="1"/>
    <col min="6" max="6" width="23.375" style="6" bestFit="1" customWidth="1"/>
    <col min="7" max="7" width="20.125" style="6" bestFit="1" customWidth="1"/>
    <col min="8" max="8" width="23" style="6" bestFit="1" customWidth="1"/>
    <col min="9" max="9" width="9" style="6" bestFit="1" customWidth="1"/>
    <col min="10" max="10" width="6.75" style="6" bestFit="1" customWidth="1"/>
    <col min="11" max="11" width="5.625" style="6" customWidth="1"/>
    <col min="12" max="13" width="6.75" style="6" bestFit="1" customWidth="1"/>
    <col min="14" max="15" width="31" style="4" customWidth="1"/>
    <col min="16" max="16" width="25.125" style="4" bestFit="1" customWidth="1"/>
    <col min="17" max="16384" width="11" style="4"/>
  </cols>
  <sheetData>
    <row r="1" spans="1:16">
      <c r="A1" s="2" t="s">
        <v>0</v>
      </c>
      <c r="B1" s="2" t="s">
        <v>1</v>
      </c>
      <c r="C1" s="3" t="s">
        <v>2</v>
      </c>
      <c r="D1" s="2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83</v>
      </c>
      <c r="N1" s="2" t="s">
        <v>12</v>
      </c>
    </row>
    <row r="2" spans="1:16">
      <c r="A2" s="5">
        <v>1</v>
      </c>
      <c r="B2" s="4" t="s">
        <v>19</v>
      </c>
      <c r="C2" s="5">
        <v>1</v>
      </c>
      <c r="E2" s="6" t="s">
        <v>89</v>
      </c>
      <c r="F2" s="6" t="s">
        <v>89</v>
      </c>
      <c r="G2" s="15" t="s">
        <v>89</v>
      </c>
      <c r="L2" s="15"/>
      <c r="M2" s="15"/>
      <c r="N2" s="16" t="s">
        <v>89</v>
      </c>
      <c r="P2" s="16" t="s">
        <v>89</v>
      </c>
    </row>
    <row r="3" spans="1:16">
      <c r="A3" s="5">
        <v>2</v>
      </c>
      <c r="B3" s="4" t="s">
        <v>17</v>
      </c>
      <c r="C3" s="5">
        <f>COUNTIF($B$1:B3,B3)</f>
        <v>1</v>
      </c>
      <c r="E3" s="15" t="s">
        <v>89</v>
      </c>
      <c r="F3" s="6" t="s">
        <v>89</v>
      </c>
      <c r="G3" s="6" t="s">
        <v>147</v>
      </c>
      <c r="H3" s="6">
        <v>1024</v>
      </c>
      <c r="I3" s="6">
        <v>1024</v>
      </c>
      <c r="J3" s="6">
        <v>1</v>
      </c>
      <c r="N3" s="16" t="s">
        <v>89</v>
      </c>
      <c r="P3" s="16"/>
    </row>
    <row r="4" spans="1:16">
      <c r="A4" s="5">
        <v>3</v>
      </c>
      <c r="B4" s="4" t="s">
        <v>18</v>
      </c>
      <c r="C4" s="5">
        <f>COUNTIF($B$1:B4,B4)</f>
        <v>1</v>
      </c>
      <c r="F4" s="16" t="s">
        <v>148</v>
      </c>
      <c r="G4" s="15" t="s">
        <v>89</v>
      </c>
      <c r="N4" s="16" t="s">
        <v>167</v>
      </c>
      <c r="P4" s="16"/>
    </row>
    <row r="5" spans="1:16">
      <c r="A5" s="5">
        <v>4</v>
      </c>
      <c r="B5" s="4" t="s">
        <v>17</v>
      </c>
      <c r="C5" s="5">
        <f>COUNTIF($B$1:B5,B5)</f>
        <v>2</v>
      </c>
      <c r="E5" s="15" t="s">
        <v>89</v>
      </c>
      <c r="F5" s="6" t="s">
        <v>89</v>
      </c>
      <c r="G5" s="6" t="s">
        <v>147</v>
      </c>
      <c r="H5" s="6">
        <v>1024</v>
      </c>
      <c r="I5" s="6">
        <v>1024</v>
      </c>
      <c r="J5" s="6">
        <v>0</v>
      </c>
      <c r="N5" s="16"/>
      <c r="P5" s="16"/>
    </row>
    <row r="6" spans="1:16">
      <c r="A6" s="5">
        <v>5</v>
      </c>
      <c r="B6" s="4" t="s">
        <v>19</v>
      </c>
      <c r="C6" s="5">
        <v>1</v>
      </c>
      <c r="F6" s="15"/>
      <c r="G6" s="15"/>
      <c r="I6" s="15"/>
      <c r="J6" s="15"/>
      <c r="L6" s="15"/>
      <c r="M6" s="15"/>
      <c r="N6" s="16"/>
      <c r="P6" s="16"/>
    </row>
    <row r="7" spans="1:16">
      <c r="A7" s="5">
        <v>6</v>
      </c>
      <c r="B7" s="4" t="s">
        <v>36</v>
      </c>
      <c r="C7" s="5" t="s">
        <v>15</v>
      </c>
      <c r="E7" s="4"/>
      <c r="F7" s="15"/>
      <c r="G7" s="15"/>
      <c r="I7" s="15"/>
      <c r="J7" s="15"/>
      <c r="L7" s="15"/>
      <c r="M7" s="15"/>
      <c r="N7" s="16" t="s">
        <v>89</v>
      </c>
      <c r="P7" s="16"/>
    </row>
    <row r="8" spans="1:16">
      <c r="A8" s="5">
        <v>7</v>
      </c>
      <c r="B8" s="4" t="s">
        <v>13</v>
      </c>
      <c r="C8" s="5" t="s">
        <v>34</v>
      </c>
      <c r="F8" s="15"/>
      <c r="G8" s="15"/>
      <c r="I8" s="15"/>
      <c r="J8" s="15"/>
      <c r="L8" s="15"/>
      <c r="M8" s="15"/>
      <c r="N8" s="16"/>
      <c r="P8" s="16"/>
    </row>
    <row r="9" spans="1:16" ht="27">
      <c r="A9" s="5">
        <v>8</v>
      </c>
      <c r="B9" s="4" t="s">
        <v>16</v>
      </c>
      <c r="C9" s="5">
        <f>COUNTIF($B$1:B9,B9)</f>
        <v>2</v>
      </c>
      <c r="E9" s="6" t="s">
        <v>87</v>
      </c>
      <c r="F9" s="16" t="s">
        <v>88</v>
      </c>
      <c r="G9" s="15" t="s">
        <v>89</v>
      </c>
      <c r="N9" s="16" t="s">
        <v>168</v>
      </c>
      <c r="P9" s="16" t="s">
        <v>169</v>
      </c>
    </row>
    <row r="10" spans="1:16">
      <c r="A10" s="5">
        <v>9</v>
      </c>
      <c r="B10" s="4" t="s">
        <v>19</v>
      </c>
      <c r="C10" s="5">
        <v>1</v>
      </c>
      <c r="E10" s="6" t="s">
        <v>89</v>
      </c>
      <c r="F10" s="16" t="s">
        <v>89</v>
      </c>
      <c r="G10" s="15" t="s">
        <v>89</v>
      </c>
      <c r="N10" s="16" t="s">
        <v>89</v>
      </c>
      <c r="P10" s="16" t="s">
        <v>89</v>
      </c>
    </row>
    <row r="11" spans="1:16">
      <c r="A11" s="5">
        <v>10</v>
      </c>
      <c r="B11" s="4" t="s">
        <v>20</v>
      </c>
      <c r="C11" s="5" t="s">
        <v>69</v>
      </c>
      <c r="E11" s="6" t="s">
        <v>89</v>
      </c>
      <c r="F11" s="6" t="s">
        <v>89</v>
      </c>
      <c r="G11" s="15" t="s">
        <v>89</v>
      </c>
      <c r="N11" s="16" t="s">
        <v>89</v>
      </c>
      <c r="P11" s="16" t="s">
        <v>89</v>
      </c>
    </row>
    <row r="12" spans="1:16">
      <c r="A12" s="5">
        <v>11</v>
      </c>
      <c r="B12" s="4" t="s">
        <v>17</v>
      </c>
      <c r="C12" s="5">
        <f>COUNTIF($B$1:B12,B12)</f>
        <v>3</v>
      </c>
      <c r="E12" s="15" t="s">
        <v>89</v>
      </c>
      <c r="F12" s="6" t="s">
        <v>89</v>
      </c>
      <c r="G12" s="6" t="s">
        <v>142</v>
      </c>
      <c r="H12" s="6">
        <v>1024</v>
      </c>
      <c r="I12" s="6">
        <v>1024</v>
      </c>
      <c r="J12" s="6">
        <v>1</v>
      </c>
      <c r="N12" s="16" t="s">
        <v>89</v>
      </c>
      <c r="P12" s="16" t="s">
        <v>89</v>
      </c>
    </row>
    <row r="13" spans="1:16" ht="27">
      <c r="A13" s="5">
        <v>12</v>
      </c>
      <c r="B13" s="4" t="s">
        <v>18</v>
      </c>
      <c r="C13" s="5">
        <f>COUNTIF($B$1:B13,B13)</f>
        <v>3</v>
      </c>
      <c r="E13" s="6" t="s">
        <v>87</v>
      </c>
      <c r="F13" s="16" t="s">
        <v>90</v>
      </c>
      <c r="G13" s="15" t="s">
        <v>89</v>
      </c>
      <c r="N13" s="16" t="s">
        <v>170</v>
      </c>
      <c r="P13" s="16" t="s">
        <v>169</v>
      </c>
    </row>
    <row r="14" spans="1:16">
      <c r="A14" s="5">
        <v>13</v>
      </c>
      <c r="B14" s="4" t="s">
        <v>17</v>
      </c>
      <c r="C14" s="5">
        <f>COUNTIF($B$1:B14,B14)</f>
        <v>4</v>
      </c>
      <c r="E14" s="15" t="s">
        <v>89</v>
      </c>
      <c r="F14" s="6" t="s">
        <v>89</v>
      </c>
      <c r="G14" s="6" t="s">
        <v>91</v>
      </c>
      <c r="H14" s="6">
        <v>1024</v>
      </c>
      <c r="I14" s="6">
        <v>1024</v>
      </c>
      <c r="J14" s="6">
        <v>1</v>
      </c>
      <c r="N14" s="16" t="s">
        <v>89</v>
      </c>
      <c r="P14" s="16" t="s">
        <v>89</v>
      </c>
    </row>
    <row r="15" spans="1:16">
      <c r="A15" s="5">
        <v>14</v>
      </c>
      <c r="B15" s="4" t="s">
        <v>20</v>
      </c>
      <c r="C15" s="5" t="s">
        <v>70</v>
      </c>
      <c r="E15" s="6" t="s">
        <v>89</v>
      </c>
      <c r="F15" s="6" t="s">
        <v>89</v>
      </c>
      <c r="G15" s="15" t="s">
        <v>89</v>
      </c>
      <c r="N15" s="16" t="s">
        <v>89</v>
      </c>
      <c r="P15" s="16" t="s">
        <v>89</v>
      </c>
    </row>
    <row r="16" spans="1:16">
      <c r="A16" s="5">
        <v>15</v>
      </c>
      <c r="B16" s="4" t="s">
        <v>18</v>
      </c>
      <c r="C16" s="5">
        <f>COUNTIF($B$1:B16,B16)</f>
        <v>4</v>
      </c>
      <c r="E16" s="6" t="s">
        <v>87</v>
      </c>
      <c r="F16" s="6" t="s">
        <v>92</v>
      </c>
      <c r="G16" s="15" t="s">
        <v>89</v>
      </c>
      <c r="N16" s="16" t="s">
        <v>171</v>
      </c>
      <c r="P16" s="16" t="s">
        <v>169</v>
      </c>
    </row>
    <row r="17" spans="1:16">
      <c r="A17" s="5">
        <v>16</v>
      </c>
      <c r="B17" s="4" t="s">
        <v>19</v>
      </c>
      <c r="C17" s="5">
        <v>2</v>
      </c>
      <c r="E17" s="15" t="s">
        <v>89</v>
      </c>
      <c r="F17" s="6" t="s">
        <v>89</v>
      </c>
      <c r="G17" s="6" t="s">
        <v>89</v>
      </c>
      <c r="N17" s="16" t="s">
        <v>89</v>
      </c>
      <c r="P17" s="16" t="s">
        <v>89</v>
      </c>
    </row>
    <row r="18" spans="1:16" ht="27">
      <c r="A18" s="5">
        <v>17</v>
      </c>
      <c r="B18" s="4" t="s">
        <v>18</v>
      </c>
      <c r="C18" s="5">
        <f>COUNTIF($B$1:B18,B18)</f>
        <v>5</v>
      </c>
      <c r="E18" s="6" t="s">
        <v>87</v>
      </c>
      <c r="F18" s="16" t="s">
        <v>93</v>
      </c>
      <c r="G18" s="15" t="s">
        <v>89</v>
      </c>
      <c r="N18" s="16" t="s">
        <v>172</v>
      </c>
      <c r="P18" s="16" t="s">
        <v>169</v>
      </c>
    </row>
    <row r="19" spans="1:16">
      <c r="A19" s="5">
        <v>18</v>
      </c>
      <c r="B19" s="4" t="s">
        <v>20</v>
      </c>
      <c r="C19" s="5" t="s">
        <v>71</v>
      </c>
      <c r="E19" s="6" t="s">
        <v>89</v>
      </c>
      <c r="F19" s="6" t="s">
        <v>89</v>
      </c>
      <c r="G19" s="6" t="s">
        <v>89</v>
      </c>
      <c r="N19" s="16" t="s">
        <v>89</v>
      </c>
      <c r="P19" s="16" t="s">
        <v>89</v>
      </c>
    </row>
    <row r="20" spans="1:16">
      <c r="A20" s="5">
        <v>19</v>
      </c>
      <c r="B20" s="4" t="s">
        <v>17</v>
      </c>
      <c r="C20" s="5">
        <f>COUNTIF($B$1:B20,B20)</f>
        <v>5</v>
      </c>
      <c r="E20" s="15" t="s">
        <v>89</v>
      </c>
      <c r="F20" s="6" t="s">
        <v>89</v>
      </c>
      <c r="G20" s="6" t="s">
        <v>94</v>
      </c>
      <c r="H20" s="6">
        <v>1024</v>
      </c>
      <c r="I20" s="6">
        <v>1024</v>
      </c>
      <c r="J20" s="6">
        <v>1</v>
      </c>
      <c r="N20" s="16" t="s">
        <v>89</v>
      </c>
      <c r="P20" s="16" t="s">
        <v>89</v>
      </c>
    </row>
    <row r="21" spans="1:16">
      <c r="A21" s="5">
        <v>20</v>
      </c>
      <c r="B21" s="4" t="s">
        <v>19</v>
      </c>
      <c r="C21" s="5">
        <v>4</v>
      </c>
      <c r="E21" s="15" t="s">
        <v>89</v>
      </c>
      <c r="F21" s="6" t="s">
        <v>89</v>
      </c>
      <c r="G21" s="6" t="s">
        <v>89</v>
      </c>
      <c r="N21" s="16" t="s">
        <v>89</v>
      </c>
      <c r="P21" s="16" t="s">
        <v>89</v>
      </c>
    </row>
    <row r="22" spans="1:16">
      <c r="A22" s="5">
        <v>21</v>
      </c>
      <c r="B22" s="4" t="s">
        <v>17</v>
      </c>
      <c r="C22" s="5">
        <f>COUNTIF($B$1:B22,B22)</f>
        <v>6</v>
      </c>
      <c r="E22" s="15" t="s">
        <v>89</v>
      </c>
      <c r="F22" s="6" t="s">
        <v>89</v>
      </c>
      <c r="G22" s="6" t="s">
        <v>94</v>
      </c>
      <c r="H22" s="6">
        <v>1024</v>
      </c>
      <c r="I22" s="6">
        <v>1024</v>
      </c>
      <c r="J22" s="6">
        <v>0</v>
      </c>
      <c r="N22" s="16" t="s">
        <v>89</v>
      </c>
      <c r="P22" s="16" t="s">
        <v>89</v>
      </c>
    </row>
    <row r="23" spans="1:16">
      <c r="A23" s="5">
        <v>22</v>
      </c>
      <c r="B23" s="4" t="s">
        <v>18</v>
      </c>
      <c r="C23" s="5">
        <f>COUNTIF($B$1:B23,B23)</f>
        <v>6</v>
      </c>
      <c r="E23" s="6" t="s">
        <v>87</v>
      </c>
      <c r="F23" s="6" t="s">
        <v>95</v>
      </c>
      <c r="G23" s="15" t="s">
        <v>89</v>
      </c>
      <c r="L23" s="15"/>
      <c r="M23" s="15"/>
      <c r="N23" s="16" t="s">
        <v>173</v>
      </c>
      <c r="P23" s="16" t="s">
        <v>169</v>
      </c>
    </row>
    <row r="24" spans="1:16">
      <c r="A24" s="5">
        <v>23</v>
      </c>
      <c r="B24" s="4" t="s">
        <v>19</v>
      </c>
      <c r="C24" s="5">
        <v>2</v>
      </c>
      <c r="E24" s="6" t="s">
        <v>89</v>
      </c>
      <c r="F24" s="6" t="s">
        <v>89</v>
      </c>
      <c r="G24" s="15" t="s">
        <v>89</v>
      </c>
      <c r="L24" s="15"/>
      <c r="M24" s="15"/>
      <c r="N24" s="16" t="s">
        <v>89</v>
      </c>
      <c r="P24" s="16" t="s">
        <v>89</v>
      </c>
    </row>
    <row r="25" spans="1:16">
      <c r="A25" s="5">
        <v>24</v>
      </c>
      <c r="B25" s="4" t="s">
        <v>14</v>
      </c>
      <c r="C25" s="5" t="s">
        <v>22</v>
      </c>
      <c r="E25" s="6" t="s">
        <v>89</v>
      </c>
      <c r="F25" s="6" t="s">
        <v>89</v>
      </c>
      <c r="G25" s="15" t="s">
        <v>89</v>
      </c>
      <c r="L25" s="15"/>
      <c r="M25" s="15"/>
      <c r="N25" s="16" t="s">
        <v>89</v>
      </c>
      <c r="P25" s="16" t="s">
        <v>89</v>
      </c>
    </row>
    <row r="26" spans="1:16">
      <c r="A26" s="5">
        <v>25</v>
      </c>
      <c r="B26" s="4" t="s">
        <v>18</v>
      </c>
      <c r="C26" s="5">
        <f>COUNTIF($B$1:B26,B26)</f>
        <v>7</v>
      </c>
      <c r="E26" s="6" t="s">
        <v>87</v>
      </c>
      <c r="F26" s="6" t="s">
        <v>96</v>
      </c>
      <c r="G26" s="15" t="s">
        <v>89</v>
      </c>
      <c r="L26" s="15"/>
      <c r="M26" s="15"/>
      <c r="N26" s="16" t="s">
        <v>174</v>
      </c>
      <c r="P26" s="16" t="s">
        <v>169</v>
      </c>
    </row>
    <row r="27" spans="1:16">
      <c r="A27" s="5">
        <v>26</v>
      </c>
      <c r="B27" s="4" t="s">
        <v>19</v>
      </c>
      <c r="C27" s="5">
        <v>1</v>
      </c>
      <c r="E27" s="6" t="s">
        <v>89</v>
      </c>
      <c r="F27" s="6" t="s">
        <v>89</v>
      </c>
      <c r="G27" s="15" t="s">
        <v>89</v>
      </c>
      <c r="L27" s="15"/>
      <c r="M27" s="15"/>
      <c r="N27" s="16" t="s">
        <v>89</v>
      </c>
      <c r="P27" s="16" t="s">
        <v>89</v>
      </c>
    </row>
    <row r="28" spans="1:16">
      <c r="A28" s="5">
        <v>27</v>
      </c>
      <c r="B28" s="4" t="s">
        <v>17</v>
      </c>
      <c r="C28" s="5">
        <f>COUNTIF($B$1:B28,B28)</f>
        <v>7</v>
      </c>
      <c r="E28" s="15" t="s">
        <v>89</v>
      </c>
      <c r="F28" s="6" t="s">
        <v>89</v>
      </c>
      <c r="G28" s="6" t="s">
        <v>152</v>
      </c>
      <c r="H28" s="6">
        <v>1024</v>
      </c>
      <c r="I28" s="6">
        <v>1024</v>
      </c>
      <c r="J28" s="6">
        <v>1</v>
      </c>
      <c r="N28" s="16" t="s">
        <v>89</v>
      </c>
      <c r="P28" s="16"/>
    </row>
    <row r="29" spans="1:16">
      <c r="A29" s="5">
        <v>28</v>
      </c>
      <c r="B29" s="4" t="s">
        <v>18</v>
      </c>
      <c r="C29" s="5">
        <f>COUNTIF($B$1:B29,B29)</f>
        <v>8</v>
      </c>
      <c r="F29" s="16" t="s">
        <v>148</v>
      </c>
      <c r="G29" s="15" t="s">
        <v>89</v>
      </c>
      <c r="N29" s="16" t="s">
        <v>167</v>
      </c>
      <c r="P29" s="16"/>
    </row>
    <row r="30" spans="1:16">
      <c r="A30" s="5">
        <v>29</v>
      </c>
      <c r="B30" s="4" t="s">
        <v>17</v>
      </c>
      <c r="C30" s="5">
        <f>COUNTIF($B$1:B30,B30)</f>
        <v>8</v>
      </c>
      <c r="E30" s="15" t="s">
        <v>89</v>
      </c>
      <c r="F30" s="6" t="s">
        <v>89</v>
      </c>
      <c r="G30" s="6" t="s">
        <v>152</v>
      </c>
      <c r="H30" s="6">
        <v>1024</v>
      </c>
      <c r="I30" s="6">
        <v>1024</v>
      </c>
      <c r="J30" s="6">
        <v>0</v>
      </c>
      <c r="N30" s="16"/>
      <c r="P30" s="16"/>
    </row>
    <row r="31" spans="1:16">
      <c r="A31" s="5">
        <v>30</v>
      </c>
      <c r="B31" s="4" t="s">
        <v>19</v>
      </c>
      <c r="C31" s="5">
        <v>1</v>
      </c>
      <c r="F31" s="15"/>
      <c r="G31" s="15"/>
      <c r="I31" s="15"/>
      <c r="J31" s="15"/>
      <c r="L31" s="15"/>
      <c r="M31" s="15"/>
      <c r="N31" s="16"/>
      <c r="P31" s="16"/>
    </row>
    <row r="32" spans="1:16" s="9" customFormat="1">
      <c r="A32" s="5">
        <v>31</v>
      </c>
      <c r="B32" s="7" t="s">
        <v>29</v>
      </c>
      <c r="C32" s="8" t="s">
        <v>149</v>
      </c>
      <c r="E32" s="17"/>
      <c r="F32" s="18"/>
      <c r="G32" s="17"/>
      <c r="H32" s="10"/>
      <c r="I32" s="10"/>
      <c r="J32" s="10"/>
      <c r="K32" s="10"/>
      <c r="L32" s="17"/>
      <c r="M32" s="17"/>
      <c r="N32" s="16" t="s">
        <v>89</v>
      </c>
      <c r="P32" s="16" t="s">
        <v>89</v>
      </c>
    </row>
    <row r="33" spans="1:16" s="9" customFormat="1">
      <c r="A33" s="5">
        <v>32</v>
      </c>
      <c r="B33" s="7" t="s">
        <v>59</v>
      </c>
      <c r="C33" s="8">
        <f>COUNTIF($B$1:B33,B33)</f>
        <v>1</v>
      </c>
      <c r="E33" s="10" t="s">
        <v>150</v>
      </c>
      <c r="F33" s="10" t="s">
        <v>146</v>
      </c>
      <c r="G33" s="10" t="s">
        <v>97</v>
      </c>
      <c r="H33" s="10" t="s">
        <v>98</v>
      </c>
      <c r="I33" s="10">
        <f>A34</f>
        <v>33</v>
      </c>
      <c r="J33" s="10">
        <f>A34</f>
        <v>33</v>
      </c>
      <c r="L33" s="10"/>
      <c r="M33" s="10" t="s">
        <v>86</v>
      </c>
      <c r="N33" s="21" t="s">
        <v>175</v>
      </c>
      <c r="O33" s="21" t="s">
        <v>176</v>
      </c>
      <c r="P33" s="16" t="s">
        <v>89</v>
      </c>
    </row>
    <row r="34" spans="1:16" s="9" customFormat="1">
      <c r="A34" s="5">
        <v>33</v>
      </c>
      <c r="B34" s="7" t="s">
        <v>29</v>
      </c>
      <c r="C34" s="8" t="s">
        <v>49</v>
      </c>
      <c r="E34" s="10"/>
      <c r="F34" s="10"/>
      <c r="G34" s="10"/>
      <c r="H34" s="17"/>
      <c r="I34" s="10"/>
      <c r="J34" s="10"/>
      <c r="K34" s="10"/>
      <c r="L34" s="10"/>
      <c r="M34" s="10"/>
      <c r="N34" s="16" t="s">
        <v>89</v>
      </c>
      <c r="P34" s="16" t="s">
        <v>89</v>
      </c>
    </row>
    <row r="35" spans="1:16" s="9" customFormat="1">
      <c r="A35" s="5">
        <v>34</v>
      </c>
      <c r="B35" s="4" t="s">
        <v>14</v>
      </c>
      <c r="C35" s="5" t="s">
        <v>15</v>
      </c>
      <c r="E35" s="10"/>
      <c r="F35" s="10"/>
      <c r="G35" s="10"/>
      <c r="H35" s="17"/>
      <c r="I35" s="10"/>
      <c r="J35" s="10"/>
      <c r="K35" s="10"/>
      <c r="L35" s="10"/>
      <c r="M35" s="10"/>
      <c r="N35" s="16" t="s">
        <v>89</v>
      </c>
      <c r="P35" s="16" t="s">
        <v>89</v>
      </c>
    </row>
    <row r="36" spans="1:16" s="9" customFormat="1">
      <c r="A36" s="5">
        <v>35</v>
      </c>
      <c r="B36" s="4" t="s">
        <v>20</v>
      </c>
      <c r="C36" s="5" t="s">
        <v>72</v>
      </c>
      <c r="E36" s="10"/>
      <c r="F36" s="10"/>
      <c r="G36" s="10"/>
      <c r="H36" s="17"/>
      <c r="I36" s="10"/>
      <c r="J36" s="10"/>
      <c r="K36" s="10"/>
      <c r="L36" s="10"/>
      <c r="M36" s="10"/>
      <c r="N36" s="16" t="s">
        <v>89</v>
      </c>
      <c r="P36" s="16" t="s">
        <v>89</v>
      </c>
    </row>
    <row r="37" spans="1:16" s="9" customFormat="1">
      <c r="A37" s="5">
        <v>36</v>
      </c>
      <c r="B37" s="4" t="s">
        <v>19</v>
      </c>
      <c r="C37" s="5">
        <v>5</v>
      </c>
      <c r="E37" s="10"/>
      <c r="F37" s="10"/>
      <c r="G37" s="10"/>
      <c r="H37" s="17"/>
      <c r="I37" s="10"/>
      <c r="J37" s="10"/>
      <c r="K37" s="10"/>
      <c r="L37" s="10"/>
      <c r="M37" s="10"/>
      <c r="N37" s="16" t="s">
        <v>89</v>
      </c>
      <c r="P37" s="16" t="s">
        <v>89</v>
      </c>
    </row>
    <row r="38" spans="1:16" s="9" customFormat="1">
      <c r="A38" s="5">
        <v>37</v>
      </c>
      <c r="B38" s="4" t="s">
        <v>13</v>
      </c>
      <c r="C38" s="5" t="s">
        <v>35</v>
      </c>
      <c r="E38" s="10"/>
      <c r="F38" s="10"/>
      <c r="G38" s="10"/>
      <c r="H38" s="17"/>
      <c r="I38" s="10"/>
      <c r="J38" s="10"/>
      <c r="K38" s="10"/>
      <c r="L38" s="10"/>
      <c r="M38" s="10"/>
      <c r="N38" s="16" t="s">
        <v>89</v>
      </c>
      <c r="P38" s="16" t="s">
        <v>89</v>
      </c>
    </row>
    <row r="39" spans="1:16" s="9" customFormat="1">
      <c r="A39" s="5">
        <v>38</v>
      </c>
      <c r="B39" s="4" t="s">
        <v>55</v>
      </c>
      <c r="C39" s="5" t="s">
        <v>54</v>
      </c>
      <c r="E39" s="10"/>
      <c r="F39" s="10"/>
      <c r="G39" s="10"/>
      <c r="H39" s="17"/>
      <c r="I39" s="10"/>
      <c r="J39" s="10"/>
      <c r="K39" s="10"/>
      <c r="L39" s="10"/>
      <c r="M39" s="10"/>
      <c r="N39" s="16" t="s">
        <v>89</v>
      </c>
      <c r="P39" s="16" t="s">
        <v>89</v>
      </c>
    </row>
    <row r="40" spans="1:16" s="9" customFormat="1">
      <c r="A40" s="5">
        <v>39</v>
      </c>
      <c r="B40" s="4" t="s">
        <v>27</v>
      </c>
      <c r="C40" s="5" t="s">
        <v>162</v>
      </c>
      <c r="E40" s="10"/>
      <c r="F40" s="10"/>
      <c r="G40" s="10"/>
      <c r="H40" s="17"/>
      <c r="I40" s="10"/>
      <c r="J40" s="10"/>
      <c r="K40" s="10"/>
      <c r="L40" s="10"/>
      <c r="M40" s="10"/>
      <c r="N40" s="16" t="s">
        <v>89</v>
      </c>
      <c r="P40" s="16" t="s">
        <v>89</v>
      </c>
    </row>
    <row r="41" spans="1:16" s="9" customFormat="1">
      <c r="A41" s="5">
        <v>40</v>
      </c>
      <c r="B41" s="4" t="s">
        <v>14</v>
      </c>
      <c r="C41" s="5" t="s">
        <v>22</v>
      </c>
      <c r="E41" s="10"/>
      <c r="F41" s="10"/>
      <c r="G41" s="10"/>
      <c r="H41" s="17"/>
      <c r="I41" s="10"/>
      <c r="J41" s="10"/>
      <c r="K41" s="10"/>
      <c r="L41" s="10"/>
      <c r="M41" s="10"/>
      <c r="N41" s="16" t="s">
        <v>89</v>
      </c>
      <c r="P41" s="16" t="s">
        <v>89</v>
      </c>
    </row>
    <row r="42" spans="1:16" s="9" customFormat="1">
      <c r="A42" s="5">
        <v>41</v>
      </c>
      <c r="B42" s="4" t="s">
        <v>20</v>
      </c>
      <c r="C42" s="5" t="s">
        <v>73</v>
      </c>
      <c r="E42" s="10"/>
      <c r="F42" s="10"/>
      <c r="G42" s="10"/>
      <c r="H42" s="17"/>
      <c r="I42" s="10"/>
      <c r="J42" s="10"/>
      <c r="K42" s="10"/>
      <c r="L42" s="10"/>
      <c r="M42" s="10"/>
      <c r="N42" s="16" t="s">
        <v>89</v>
      </c>
      <c r="P42" s="16" t="s">
        <v>89</v>
      </c>
    </row>
    <row r="43" spans="1:16" s="9" customFormat="1">
      <c r="A43" s="5">
        <v>42</v>
      </c>
      <c r="B43" s="4" t="s">
        <v>21</v>
      </c>
      <c r="C43" s="5">
        <v>2</v>
      </c>
      <c r="E43" s="10"/>
      <c r="F43" s="10"/>
      <c r="G43" s="10"/>
      <c r="H43" s="17"/>
      <c r="I43" s="10"/>
      <c r="J43" s="10"/>
      <c r="K43" s="10"/>
      <c r="L43" s="10"/>
      <c r="M43" s="10"/>
      <c r="N43" s="16" t="s">
        <v>89</v>
      </c>
      <c r="P43" s="16" t="s">
        <v>89</v>
      </c>
    </row>
    <row r="44" spans="1:16">
      <c r="A44" s="5">
        <v>43</v>
      </c>
      <c r="B44" s="4" t="s">
        <v>29</v>
      </c>
      <c r="C44" s="5" t="s">
        <v>151</v>
      </c>
      <c r="E44" s="15"/>
      <c r="F44" s="15"/>
      <c r="G44" s="15"/>
      <c r="H44" s="15"/>
      <c r="I44" s="15"/>
      <c r="J44" s="15"/>
      <c r="K44" s="15"/>
      <c r="N44" s="16" t="s">
        <v>89</v>
      </c>
      <c r="P44" s="16" t="s">
        <v>89</v>
      </c>
    </row>
    <row r="45" spans="1:16">
      <c r="A45" s="5">
        <v>44</v>
      </c>
      <c r="B45" s="4" t="s">
        <v>33</v>
      </c>
      <c r="C45" s="5" t="s">
        <v>31</v>
      </c>
      <c r="E45" s="6" t="s">
        <v>99</v>
      </c>
      <c r="F45" s="15" t="s">
        <v>31</v>
      </c>
      <c r="N45" s="16" t="s">
        <v>89</v>
      </c>
      <c r="P45" s="16" t="s">
        <v>177</v>
      </c>
    </row>
    <row r="46" spans="1:16">
      <c r="A46" s="5">
        <v>45</v>
      </c>
      <c r="B46" s="4" t="s">
        <v>29</v>
      </c>
      <c r="C46" s="5" t="s">
        <v>30</v>
      </c>
      <c r="F46" s="15"/>
      <c r="N46" s="16" t="s">
        <v>89</v>
      </c>
      <c r="P46" s="16" t="s">
        <v>89</v>
      </c>
    </row>
    <row r="47" spans="1:16">
      <c r="A47" s="5">
        <v>46</v>
      </c>
      <c r="B47" s="4" t="s">
        <v>20</v>
      </c>
      <c r="C47" s="5" t="s">
        <v>74</v>
      </c>
      <c r="E47" s="15"/>
      <c r="H47" s="15"/>
      <c r="I47" s="15"/>
      <c r="J47" s="15"/>
      <c r="K47" s="15"/>
      <c r="N47" s="16" t="s">
        <v>89</v>
      </c>
      <c r="P47" s="16" t="s">
        <v>89</v>
      </c>
    </row>
    <row r="48" spans="1:16">
      <c r="A48" s="5">
        <v>47</v>
      </c>
      <c r="B48" s="4" t="s">
        <v>19</v>
      </c>
      <c r="C48" s="5">
        <v>2</v>
      </c>
      <c r="E48" s="15"/>
      <c r="H48" s="15"/>
      <c r="I48" s="15"/>
      <c r="J48" s="15"/>
      <c r="K48" s="15"/>
      <c r="N48" s="16" t="s">
        <v>89</v>
      </c>
      <c r="P48" s="16" t="s">
        <v>89</v>
      </c>
    </row>
    <row r="49" spans="1:16">
      <c r="A49" s="5">
        <v>48</v>
      </c>
      <c r="B49" s="4" t="s">
        <v>55</v>
      </c>
      <c r="C49" s="5" t="s">
        <v>57</v>
      </c>
      <c r="E49" s="15"/>
      <c r="H49" s="15"/>
      <c r="I49" s="15"/>
      <c r="J49" s="15"/>
      <c r="K49" s="15"/>
      <c r="N49" s="16" t="s">
        <v>89</v>
      </c>
      <c r="P49" s="16" t="s">
        <v>89</v>
      </c>
    </row>
    <row r="50" spans="1:16">
      <c r="A50" s="5">
        <v>49</v>
      </c>
      <c r="B50" s="4" t="s">
        <v>14</v>
      </c>
      <c r="C50" s="5" t="s">
        <v>15</v>
      </c>
      <c r="F50" s="15"/>
      <c r="L50" s="15"/>
      <c r="M50" s="15"/>
      <c r="N50" s="16" t="s">
        <v>89</v>
      </c>
      <c r="P50" s="16" t="s">
        <v>89</v>
      </c>
    </row>
    <row r="51" spans="1:16">
      <c r="A51" s="5">
        <v>50</v>
      </c>
      <c r="B51" s="4" t="s">
        <v>13</v>
      </c>
      <c r="C51" s="5" t="s">
        <v>39</v>
      </c>
      <c r="F51" s="15"/>
      <c r="L51" s="15"/>
      <c r="M51" s="15"/>
      <c r="N51" s="16" t="s">
        <v>89</v>
      </c>
      <c r="P51" s="16" t="s">
        <v>89</v>
      </c>
    </row>
    <row r="52" spans="1:16">
      <c r="A52" s="5">
        <v>51</v>
      </c>
      <c r="B52" s="4" t="s">
        <v>24</v>
      </c>
      <c r="C52" s="5">
        <f>COUNTIF($B$1:B52,B52)</f>
        <v>1</v>
      </c>
      <c r="E52" s="6" t="s">
        <v>104</v>
      </c>
      <c r="F52" s="6" t="s">
        <v>101</v>
      </c>
      <c r="G52" s="15" t="s">
        <v>105</v>
      </c>
      <c r="H52" s="15" t="s">
        <v>64</v>
      </c>
      <c r="I52" s="6" t="s">
        <v>25</v>
      </c>
      <c r="J52" s="6" t="s">
        <v>26</v>
      </c>
      <c r="K52" s="6" t="s">
        <v>26</v>
      </c>
      <c r="L52" s="6" t="s">
        <v>43</v>
      </c>
      <c r="M52" s="6" t="b">
        <v>1</v>
      </c>
      <c r="N52" s="16" t="s">
        <v>178</v>
      </c>
      <c r="P52" s="16" t="s">
        <v>179</v>
      </c>
    </row>
    <row r="53" spans="1:16">
      <c r="A53" s="5">
        <v>52</v>
      </c>
      <c r="B53" s="4" t="s">
        <v>24</v>
      </c>
      <c r="C53" s="5">
        <f>COUNTIF($B$1:B53,B53)</f>
        <v>2</v>
      </c>
      <c r="E53" s="6" t="s">
        <v>102</v>
      </c>
      <c r="F53" s="6" t="s">
        <v>103</v>
      </c>
      <c r="G53" s="15" t="s">
        <v>106</v>
      </c>
      <c r="H53" s="15"/>
      <c r="M53" s="6" t="s">
        <v>43</v>
      </c>
      <c r="N53" s="16" t="s">
        <v>180</v>
      </c>
      <c r="P53" s="16" t="s">
        <v>181</v>
      </c>
    </row>
    <row r="54" spans="1:16">
      <c r="A54" s="5">
        <v>53</v>
      </c>
      <c r="B54" s="4" t="s">
        <v>19</v>
      </c>
      <c r="C54" s="5">
        <v>2</v>
      </c>
      <c r="G54" s="15"/>
      <c r="H54" s="15"/>
      <c r="N54" s="16" t="s">
        <v>89</v>
      </c>
      <c r="P54" s="16" t="s">
        <v>89</v>
      </c>
    </row>
    <row r="55" spans="1:16">
      <c r="A55" s="5">
        <v>54</v>
      </c>
      <c r="B55" s="4" t="s">
        <v>27</v>
      </c>
      <c r="C55" s="5" t="s">
        <v>163</v>
      </c>
      <c r="F55" s="15"/>
      <c r="H55" s="15"/>
      <c r="I55" s="15"/>
      <c r="J55" s="15"/>
      <c r="N55" s="16" t="s">
        <v>89</v>
      </c>
      <c r="P55" s="16" t="s">
        <v>89</v>
      </c>
    </row>
    <row r="56" spans="1:16">
      <c r="A56" s="5">
        <v>55</v>
      </c>
      <c r="B56" s="4" t="s">
        <v>19</v>
      </c>
      <c r="C56" s="5">
        <v>1</v>
      </c>
      <c r="G56" s="15"/>
      <c r="L56" s="15"/>
      <c r="M56" s="15"/>
      <c r="N56" s="16" t="s">
        <v>89</v>
      </c>
      <c r="P56" s="16" t="s">
        <v>89</v>
      </c>
    </row>
    <row r="57" spans="1:16">
      <c r="A57" s="5">
        <v>56</v>
      </c>
      <c r="B57" s="4" t="s">
        <v>18</v>
      </c>
      <c r="C57" s="5">
        <f>COUNTIF($B$1:B57,B57)</f>
        <v>9</v>
      </c>
      <c r="E57" s="6" t="s">
        <v>87</v>
      </c>
      <c r="F57" s="6" t="s">
        <v>107</v>
      </c>
      <c r="G57" s="15"/>
      <c r="L57" s="15"/>
      <c r="M57" s="15"/>
      <c r="N57" s="16" t="s">
        <v>182</v>
      </c>
      <c r="P57" s="16" t="s">
        <v>169</v>
      </c>
    </row>
    <row r="58" spans="1:16">
      <c r="A58" s="5">
        <v>57</v>
      </c>
      <c r="B58" s="4" t="s">
        <v>23</v>
      </c>
      <c r="C58" s="5" t="s">
        <v>32</v>
      </c>
      <c r="F58" s="6" t="s">
        <v>32</v>
      </c>
      <c r="H58" s="15"/>
      <c r="N58" s="16" t="s">
        <v>89</v>
      </c>
      <c r="P58" s="16" t="s">
        <v>89</v>
      </c>
    </row>
    <row r="59" spans="1:16">
      <c r="A59" s="5">
        <v>58</v>
      </c>
      <c r="B59" s="4" t="s">
        <v>55</v>
      </c>
      <c r="C59" s="5" t="s">
        <v>54</v>
      </c>
      <c r="H59" s="15"/>
      <c r="N59" s="16" t="s">
        <v>89</v>
      </c>
      <c r="P59" s="16" t="s">
        <v>89</v>
      </c>
    </row>
    <row r="60" spans="1:16">
      <c r="A60" s="5">
        <v>59</v>
      </c>
      <c r="B60" s="4" t="s">
        <v>23</v>
      </c>
      <c r="C60" s="5" t="s">
        <v>60</v>
      </c>
      <c r="F60" s="6" t="s">
        <v>61</v>
      </c>
      <c r="H60" s="15"/>
      <c r="I60" s="15"/>
      <c r="J60" s="15"/>
      <c r="K60" s="15"/>
      <c r="N60" s="16" t="s">
        <v>89</v>
      </c>
      <c r="P60" s="16" t="s">
        <v>89</v>
      </c>
    </row>
    <row r="61" spans="1:16">
      <c r="A61" s="5">
        <v>60</v>
      </c>
      <c r="B61" s="4" t="s">
        <v>19</v>
      </c>
      <c r="C61" s="5">
        <v>1</v>
      </c>
      <c r="H61" s="15"/>
      <c r="I61" s="15"/>
      <c r="J61" s="15"/>
      <c r="K61" s="15"/>
      <c r="N61" s="16" t="s">
        <v>89</v>
      </c>
      <c r="P61" s="16" t="s">
        <v>89</v>
      </c>
    </row>
    <row r="62" spans="1:16">
      <c r="A62" s="5">
        <v>61</v>
      </c>
      <c r="B62" s="4" t="s">
        <v>14</v>
      </c>
      <c r="C62" s="5" t="s">
        <v>22</v>
      </c>
      <c r="E62" s="15"/>
      <c r="F62" s="15"/>
      <c r="H62" s="15"/>
      <c r="I62" s="15"/>
      <c r="J62" s="15"/>
      <c r="K62" s="15"/>
      <c r="N62" s="16" t="s">
        <v>89</v>
      </c>
      <c r="P62" s="16" t="s">
        <v>89</v>
      </c>
    </row>
    <row r="63" spans="1:16">
      <c r="A63" s="5">
        <v>62</v>
      </c>
      <c r="B63" s="4" t="s">
        <v>19</v>
      </c>
      <c r="C63" s="5">
        <v>4</v>
      </c>
      <c r="H63" s="15"/>
      <c r="I63" s="15"/>
      <c r="J63" s="15"/>
      <c r="K63" s="15"/>
      <c r="N63" s="16" t="s">
        <v>89</v>
      </c>
      <c r="P63" s="16" t="s">
        <v>89</v>
      </c>
    </row>
    <row r="64" spans="1:16">
      <c r="A64" s="5">
        <v>63</v>
      </c>
      <c r="B64" s="4" t="s">
        <v>24</v>
      </c>
      <c r="C64" s="5">
        <f>COUNTIF($B$1:B64,B64)</f>
        <v>3</v>
      </c>
      <c r="E64" s="6" t="s">
        <v>102</v>
      </c>
      <c r="F64" s="6" t="s">
        <v>108</v>
      </c>
      <c r="G64" s="15" t="s">
        <v>109</v>
      </c>
      <c r="H64" s="15"/>
      <c r="I64" s="15"/>
      <c r="J64" s="15"/>
      <c r="K64" s="15"/>
      <c r="M64" s="6" t="s">
        <v>43</v>
      </c>
      <c r="N64" s="16" t="s">
        <v>183</v>
      </c>
      <c r="P64" s="16" t="s">
        <v>181</v>
      </c>
    </row>
    <row r="65" spans="1:16">
      <c r="A65" s="5">
        <v>64</v>
      </c>
      <c r="B65" s="4" t="s">
        <v>23</v>
      </c>
      <c r="C65" s="5" t="s">
        <v>37</v>
      </c>
      <c r="F65" s="6" t="s">
        <v>37</v>
      </c>
      <c r="G65" s="15"/>
      <c r="H65" s="15"/>
      <c r="I65" s="15"/>
      <c r="J65" s="15"/>
      <c r="K65" s="15"/>
      <c r="N65" s="16" t="s">
        <v>89</v>
      </c>
      <c r="P65" s="16" t="s">
        <v>89</v>
      </c>
    </row>
    <row r="66" spans="1:16">
      <c r="A66" s="5">
        <v>65</v>
      </c>
      <c r="B66" s="4" t="s">
        <v>24</v>
      </c>
      <c r="C66" s="5">
        <f>COUNTIF($B$1:B66,B66)</f>
        <v>4</v>
      </c>
      <c r="E66" s="6" t="s">
        <v>100</v>
      </c>
      <c r="F66" s="6" t="s">
        <v>110</v>
      </c>
      <c r="G66" s="15" t="s">
        <v>111</v>
      </c>
      <c r="H66" s="15" t="s">
        <v>65</v>
      </c>
      <c r="I66" s="6" t="s">
        <v>42</v>
      </c>
      <c r="J66" s="6" t="s">
        <v>26</v>
      </c>
      <c r="K66" s="6" t="s">
        <v>26</v>
      </c>
      <c r="L66" s="6" t="s">
        <v>43</v>
      </c>
      <c r="M66" s="6" t="s">
        <v>43</v>
      </c>
      <c r="N66" s="16" t="s">
        <v>184</v>
      </c>
      <c r="P66" s="16" t="s">
        <v>185</v>
      </c>
    </row>
    <row r="67" spans="1:16">
      <c r="A67" s="5">
        <v>66</v>
      </c>
      <c r="B67" s="4" t="s">
        <v>19</v>
      </c>
      <c r="C67" s="5">
        <v>2</v>
      </c>
      <c r="G67" s="15"/>
      <c r="H67" s="15"/>
      <c r="N67" s="16" t="s">
        <v>89</v>
      </c>
      <c r="P67" s="16" t="s">
        <v>89</v>
      </c>
    </row>
    <row r="68" spans="1:16">
      <c r="A68" s="5">
        <v>67</v>
      </c>
      <c r="B68" s="4" t="s">
        <v>23</v>
      </c>
      <c r="C68" s="5" t="s">
        <v>38</v>
      </c>
      <c r="F68" s="6" t="s">
        <v>38</v>
      </c>
      <c r="G68" s="15"/>
      <c r="H68" s="15"/>
      <c r="N68" s="16" t="s">
        <v>89</v>
      </c>
      <c r="P68" s="16" t="s">
        <v>89</v>
      </c>
    </row>
    <row r="69" spans="1:16">
      <c r="A69" s="5">
        <v>68</v>
      </c>
      <c r="B69" s="4" t="s">
        <v>24</v>
      </c>
      <c r="C69" s="5">
        <f>COUNTIF($B$1:B69,B69)</f>
        <v>5</v>
      </c>
      <c r="E69" s="6" t="s">
        <v>100</v>
      </c>
      <c r="F69" s="6" t="s">
        <v>112</v>
      </c>
      <c r="G69" s="15" t="s">
        <v>113</v>
      </c>
      <c r="H69" s="15" t="s">
        <v>66</v>
      </c>
      <c r="I69" s="6" t="s">
        <v>41</v>
      </c>
      <c r="J69" s="6" t="s">
        <v>26</v>
      </c>
      <c r="K69" s="6" t="s">
        <v>26</v>
      </c>
      <c r="L69" s="6" t="b">
        <v>1</v>
      </c>
      <c r="M69" s="6" t="s">
        <v>43</v>
      </c>
      <c r="N69" s="16" t="s">
        <v>186</v>
      </c>
      <c r="P69" s="16" t="s">
        <v>185</v>
      </c>
    </row>
    <row r="70" spans="1:16">
      <c r="A70" s="5">
        <v>69</v>
      </c>
      <c r="B70" s="4" t="s">
        <v>55</v>
      </c>
      <c r="C70" s="5" t="s">
        <v>56</v>
      </c>
      <c r="G70" s="15"/>
      <c r="H70" s="15"/>
      <c r="N70" s="16" t="s">
        <v>89</v>
      </c>
      <c r="P70" s="16" t="s">
        <v>89</v>
      </c>
    </row>
    <row r="71" spans="1:16">
      <c r="A71" s="5">
        <v>70</v>
      </c>
      <c r="B71" s="4" t="s">
        <v>13</v>
      </c>
      <c r="C71" s="5" t="s">
        <v>40</v>
      </c>
      <c r="N71" s="16" t="s">
        <v>89</v>
      </c>
      <c r="O71" s="16"/>
      <c r="P71" s="16" t="s">
        <v>89</v>
      </c>
    </row>
    <row r="72" spans="1:16">
      <c r="A72" s="5">
        <v>71</v>
      </c>
      <c r="B72" s="4" t="s">
        <v>14</v>
      </c>
      <c r="C72" s="5" t="s">
        <v>15</v>
      </c>
      <c r="E72" s="15"/>
      <c r="F72" s="15"/>
      <c r="G72" s="15"/>
      <c r="H72" s="15"/>
      <c r="I72" s="15"/>
      <c r="J72" s="15"/>
      <c r="K72" s="15"/>
      <c r="N72" s="16" t="s">
        <v>89</v>
      </c>
      <c r="O72" s="16"/>
      <c r="P72" s="16" t="s">
        <v>89</v>
      </c>
    </row>
    <row r="73" spans="1:16">
      <c r="A73" s="5">
        <v>72</v>
      </c>
      <c r="B73" s="4" t="s">
        <v>18</v>
      </c>
      <c r="C73" s="5">
        <f>COUNTIF($B$1:B73,B73)</f>
        <v>10</v>
      </c>
      <c r="E73" s="6" t="s">
        <v>87</v>
      </c>
      <c r="F73" s="6" t="s">
        <v>114</v>
      </c>
      <c r="G73" s="15"/>
      <c r="I73" s="15"/>
      <c r="J73" s="15"/>
      <c r="K73" s="15"/>
      <c r="N73" s="16" t="s">
        <v>187</v>
      </c>
      <c r="O73" s="16"/>
      <c r="P73" s="16" t="s">
        <v>169</v>
      </c>
    </row>
    <row r="74" spans="1:16">
      <c r="A74" s="5">
        <v>73</v>
      </c>
      <c r="B74" s="4" t="s">
        <v>17</v>
      </c>
      <c r="C74" s="5">
        <f>COUNTIF($B$1:B74,B74)</f>
        <v>9</v>
      </c>
      <c r="E74" s="15"/>
      <c r="G74" s="6" t="s">
        <v>115</v>
      </c>
      <c r="H74" s="6">
        <v>1024</v>
      </c>
      <c r="I74" s="6">
        <v>1024</v>
      </c>
      <c r="J74" s="6">
        <v>1</v>
      </c>
      <c r="N74" s="16" t="s">
        <v>89</v>
      </c>
      <c r="O74" s="16"/>
      <c r="P74" s="16" t="s">
        <v>89</v>
      </c>
    </row>
    <row r="75" spans="1:16">
      <c r="A75" s="5">
        <v>74</v>
      </c>
      <c r="B75" s="4" t="s">
        <v>20</v>
      </c>
      <c r="C75" s="5" t="s">
        <v>143</v>
      </c>
      <c r="E75" s="15"/>
      <c r="G75" s="15"/>
      <c r="N75" s="16" t="s">
        <v>89</v>
      </c>
      <c r="O75" s="16"/>
      <c r="P75" s="16" t="s">
        <v>89</v>
      </c>
    </row>
    <row r="76" spans="1:16" ht="27">
      <c r="A76" s="5">
        <v>75</v>
      </c>
      <c r="B76" s="4" t="s">
        <v>18</v>
      </c>
      <c r="C76" s="5">
        <f>COUNTIF($B$1:B76,B76)</f>
        <v>11</v>
      </c>
      <c r="E76" s="6" t="s">
        <v>87</v>
      </c>
      <c r="F76" s="16" t="s">
        <v>116</v>
      </c>
      <c r="G76" s="15"/>
      <c r="N76" s="16" t="s">
        <v>188</v>
      </c>
      <c r="O76" s="16"/>
      <c r="P76" s="16" t="s">
        <v>169</v>
      </c>
    </row>
    <row r="77" spans="1:16">
      <c r="A77" s="5">
        <v>76</v>
      </c>
      <c r="B77" s="4" t="s">
        <v>20</v>
      </c>
      <c r="C77" s="5" t="s">
        <v>80</v>
      </c>
      <c r="F77" s="16"/>
      <c r="G77" s="15"/>
      <c r="N77" s="16"/>
      <c r="O77" s="16"/>
      <c r="P77" s="16" t="s">
        <v>89</v>
      </c>
    </row>
    <row r="78" spans="1:16">
      <c r="A78" s="5">
        <v>77</v>
      </c>
      <c r="B78" s="4" t="s">
        <v>17</v>
      </c>
      <c r="C78" s="5">
        <f>COUNTIF($B$1:B78,B78)</f>
        <v>10</v>
      </c>
      <c r="G78" s="6" t="s">
        <v>117</v>
      </c>
      <c r="H78" s="6">
        <v>1024</v>
      </c>
      <c r="I78" s="6">
        <v>1024</v>
      </c>
      <c r="J78" s="6">
        <v>1</v>
      </c>
      <c r="N78" s="16" t="s">
        <v>89</v>
      </c>
      <c r="O78" s="16"/>
      <c r="P78" s="16" t="s">
        <v>89</v>
      </c>
    </row>
    <row r="79" spans="1:16">
      <c r="A79" s="5">
        <v>78</v>
      </c>
      <c r="B79" s="4" t="s">
        <v>24</v>
      </c>
      <c r="C79" s="5">
        <f>COUNTIF($B$1:B79,B79)</f>
        <v>6</v>
      </c>
      <c r="E79" s="6" t="s">
        <v>102</v>
      </c>
      <c r="F79" s="6" t="s">
        <v>118</v>
      </c>
      <c r="G79" s="15" t="s">
        <v>119</v>
      </c>
      <c r="M79" s="6" t="s">
        <v>43</v>
      </c>
      <c r="N79" s="16" t="s">
        <v>189</v>
      </c>
      <c r="O79" s="16"/>
      <c r="P79" s="16" t="s">
        <v>181</v>
      </c>
    </row>
    <row r="80" spans="1:16">
      <c r="A80" s="5">
        <v>79</v>
      </c>
      <c r="B80" s="4" t="s">
        <v>19</v>
      </c>
      <c r="C80" s="5">
        <v>1</v>
      </c>
      <c r="E80" s="15"/>
      <c r="N80" s="16" t="s">
        <v>89</v>
      </c>
      <c r="O80" s="16"/>
      <c r="P80" s="16" t="s">
        <v>89</v>
      </c>
    </row>
    <row r="81" spans="1:16">
      <c r="A81" s="5">
        <v>80</v>
      </c>
      <c r="B81" s="4" t="s">
        <v>24</v>
      </c>
      <c r="C81" s="5">
        <f>COUNTIF($B$1:B81,B81)</f>
        <v>7</v>
      </c>
      <c r="E81" s="6" t="s">
        <v>102</v>
      </c>
      <c r="F81" s="6" t="s">
        <v>120</v>
      </c>
      <c r="G81" s="15" t="s">
        <v>121</v>
      </c>
      <c r="H81" s="15"/>
      <c r="M81" s="6" t="s">
        <v>43</v>
      </c>
      <c r="N81" s="16" t="s">
        <v>190</v>
      </c>
      <c r="O81" s="16"/>
      <c r="P81" s="16" t="s">
        <v>181</v>
      </c>
    </row>
    <row r="82" spans="1:16">
      <c r="A82" s="5">
        <v>81</v>
      </c>
      <c r="B82" s="4" t="s">
        <v>17</v>
      </c>
      <c r="C82" s="5">
        <f>COUNTIF($B$1:B82,B82)</f>
        <v>11</v>
      </c>
      <c r="G82" s="6" t="s">
        <v>122</v>
      </c>
      <c r="H82" s="6">
        <v>1024</v>
      </c>
      <c r="I82" s="6">
        <v>1024</v>
      </c>
      <c r="J82" s="6">
        <v>1</v>
      </c>
      <c r="N82" s="16" t="s">
        <v>89</v>
      </c>
      <c r="O82" s="16"/>
      <c r="P82" s="16" t="s">
        <v>89</v>
      </c>
    </row>
    <row r="83" spans="1:16">
      <c r="A83" s="5">
        <v>82</v>
      </c>
      <c r="B83" s="4" t="s">
        <v>20</v>
      </c>
      <c r="C83" s="5" t="s">
        <v>75</v>
      </c>
      <c r="G83" s="15"/>
      <c r="H83" s="15"/>
      <c r="N83" s="16" t="s">
        <v>89</v>
      </c>
      <c r="O83" s="16"/>
      <c r="P83" s="16" t="s">
        <v>89</v>
      </c>
    </row>
    <row r="84" spans="1:16">
      <c r="A84" s="5">
        <v>83</v>
      </c>
      <c r="B84" s="4" t="s">
        <v>19</v>
      </c>
      <c r="C84" s="5">
        <v>5</v>
      </c>
      <c r="G84" s="15"/>
      <c r="H84" s="15"/>
      <c r="N84" s="16" t="s">
        <v>89</v>
      </c>
      <c r="O84" s="16"/>
      <c r="P84" s="16" t="s">
        <v>89</v>
      </c>
    </row>
    <row r="85" spans="1:16">
      <c r="A85" s="5">
        <v>84</v>
      </c>
      <c r="B85" s="4" t="s">
        <v>17</v>
      </c>
      <c r="C85" s="5">
        <f>COUNTIF($B$1:B85,B85)</f>
        <v>12</v>
      </c>
      <c r="G85" s="6" t="s">
        <v>122</v>
      </c>
      <c r="H85" s="6">
        <v>1024</v>
      </c>
      <c r="I85" s="6">
        <v>1024</v>
      </c>
      <c r="J85" s="6">
        <v>0</v>
      </c>
      <c r="N85" s="16" t="s">
        <v>89</v>
      </c>
      <c r="O85" s="16"/>
      <c r="P85" s="16" t="s">
        <v>89</v>
      </c>
    </row>
    <row r="86" spans="1:16">
      <c r="A86" s="5">
        <v>85</v>
      </c>
      <c r="B86" s="4" t="s">
        <v>28</v>
      </c>
      <c r="C86" s="5" t="s">
        <v>157</v>
      </c>
      <c r="G86" s="15"/>
      <c r="H86" s="15"/>
      <c r="N86" s="16" t="s">
        <v>89</v>
      </c>
      <c r="O86" s="16"/>
      <c r="P86" s="16" t="s">
        <v>89</v>
      </c>
    </row>
    <row r="87" spans="1:16">
      <c r="A87" s="5">
        <v>86</v>
      </c>
      <c r="B87" s="7" t="s">
        <v>16</v>
      </c>
      <c r="C87" s="5">
        <f>COUNTIF($B$1:B87,B87)</f>
        <v>12</v>
      </c>
      <c r="D87" s="9"/>
      <c r="E87" s="10" t="s">
        <v>87</v>
      </c>
      <c r="F87" s="10" t="s">
        <v>123</v>
      </c>
      <c r="G87" s="17"/>
      <c r="H87" s="10"/>
      <c r="I87" s="17"/>
      <c r="J87" s="17"/>
      <c r="K87" s="10"/>
      <c r="L87" s="17"/>
      <c r="M87" s="17"/>
      <c r="N87" s="16" t="s">
        <v>191</v>
      </c>
      <c r="O87" s="16"/>
      <c r="P87" s="16" t="s">
        <v>169</v>
      </c>
    </row>
    <row r="88" spans="1:16">
      <c r="A88" s="5">
        <v>87</v>
      </c>
      <c r="B88" s="7" t="s">
        <v>19</v>
      </c>
      <c r="C88" s="8">
        <v>1</v>
      </c>
      <c r="D88" s="9"/>
      <c r="E88" s="10" t="s">
        <v>89</v>
      </c>
      <c r="F88" s="10" t="s">
        <v>89</v>
      </c>
      <c r="G88" s="17"/>
      <c r="H88" s="10"/>
      <c r="I88" s="17"/>
      <c r="J88" s="17"/>
      <c r="K88" s="10"/>
      <c r="L88" s="17"/>
      <c r="M88" s="17"/>
      <c r="N88" s="16" t="s">
        <v>89</v>
      </c>
      <c r="O88" s="16"/>
      <c r="P88" s="16" t="s">
        <v>89</v>
      </c>
    </row>
    <row r="89" spans="1:16">
      <c r="A89" s="5">
        <v>88</v>
      </c>
      <c r="B89" s="7" t="s">
        <v>18</v>
      </c>
      <c r="C89" s="5">
        <f>COUNTIF($B$1:B89,B89)</f>
        <v>13</v>
      </c>
      <c r="D89" s="9"/>
      <c r="E89" s="10" t="s">
        <v>159</v>
      </c>
      <c r="F89" s="10" t="s">
        <v>124</v>
      </c>
      <c r="G89" s="17"/>
      <c r="H89" s="10"/>
      <c r="I89" s="17"/>
      <c r="J89" s="17"/>
      <c r="K89" s="17"/>
      <c r="L89" s="17"/>
      <c r="M89" s="17"/>
      <c r="N89" s="16" t="s">
        <v>192</v>
      </c>
      <c r="O89" s="16"/>
      <c r="P89" s="16" t="s">
        <v>169</v>
      </c>
    </row>
    <row r="90" spans="1:16">
      <c r="A90" s="5">
        <v>89</v>
      </c>
      <c r="B90" s="4" t="s">
        <v>55</v>
      </c>
      <c r="C90" s="5" t="s">
        <v>54</v>
      </c>
      <c r="D90" s="9"/>
      <c r="E90" s="10"/>
      <c r="F90" s="10"/>
      <c r="G90" s="17"/>
      <c r="H90" s="10"/>
      <c r="I90" s="17"/>
      <c r="J90" s="17"/>
      <c r="K90" s="17"/>
      <c r="L90" s="17"/>
      <c r="M90" s="17"/>
      <c r="N90" s="16"/>
      <c r="O90" s="16"/>
      <c r="P90" s="16"/>
    </row>
    <row r="91" spans="1:16">
      <c r="A91" s="5">
        <v>90</v>
      </c>
      <c r="B91" s="7" t="s">
        <v>44</v>
      </c>
      <c r="C91" s="8" t="s">
        <v>164</v>
      </c>
      <c r="D91" s="9"/>
      <c r="E91" s="10"/>
      <c r="F91" s="10"/>
      <c r="G91" s="17"/>
      <c r="H91" s="10"/>
      <c r="I91" s="17"/>
      <c r="J91" s="17"/>
      <c r="K91" s="17"/>
      <c r="L91" s="17"/>
      <c r="M91" s="17"/>
      <c r="N91" s="16"/>
      <c r="O91" s="16"/>
      <c r="P91" s="16"/>
    </row>
    <row r="92" spans="1:16">
      <c r="A92" s="5">
        <v>91</v>
      </c>
      <c r="B92" s="7" t="s">
        <v>19</v>
      </c>
      <c r="C92" s="8">
        <v>0.5</v>
      </c>
      <c r="D92" s="9"/>
      <c r="E92" s="10"/>
      <c r="F92" s="10"/>
      <c r="G92" s="17"/>
      <c r="H92" s="10"/>
      <c r="I92" s="17"/>
      <c r="J92" s="17"/>
      <c r="K92" s="17"/>
      <c r="L92" s="17"/>
      <c r="M92" s="17"/>
      <c r="N92" s="16"/>
      <c r="O92" s="16"/>
      <c r="P92" s="16"/>
    </row>
    <row r="93" spans="1:16">
      <c r="A93" s="5">
        <v>92</v>
      </c>
      <c r="B93" s="7" t="s">
        <v>14</v>
      </c>
      <c r="C93" s="8" t="s">
        <v>45</v>
      </c>
      <c r="D93" s="9"/>
      <c r="E93" s="10"/>
      <c r="F93" s="10"/>
      <c r="G93" s="17"/>
      <c r="H93" s="10"/>
      <c r="I93" s="17"/>
      <c r="J93" s="17"/>
      <c r="K93" s="17"/>
      <c r="L93" s="17"/>
      <c r="M93" s="17"/>
      <c r="N93" s="16" t="s">
        <v>89</v>
      </c>
      <c r="O93" s="16"/>
      <c r="P93" s="16" t="s">
        <v>89</v>
      </c>
    </row>
    <row r="94" spans="1:16">
      <c r="A94" s="5">
        <v>93</v>
      </c>
      <c r="B94" s="7" t="s">
        <v>19</v>
      </c>
      <c r="C94" s="8">
        <v>5</v>
      </c>
      <c r="D94" s="9"/>
      <c r="E94" s="10"/>
      <c r="F94" s="10"/>
      <c r="G94" s="17"/>
      <c r="H94" s="10"/>
      <c r="I94" s="17"/>
      <c r="J94" s="17"/>
      <c r="K94" s="17"/>
      <c r="L94" s="17"/>
      <c r="M94" s="17"/>
      <c r="N94" s="16"/>
      <c r="O94" s="16"/>
      <c r="P94" s="16"/>
    </row>
    <row r="95" spans="1:16">
      <c r="A95" s="5">
        <v>94</v>
      </c>
      <c r="B95" s="7" t="s">
        <v>44</v>
      </c>
      <c r="C95" s="8" t="s">
        <v>165</v>
      </c>
      <c r="D95" s="9"/>
      <c r="N95" s="16" t="s">
        <v>89</v>
      </c>
      <c r="O95" s="16"/>
      <c r="P95" s="16" t="s">
        <v>89</v>
      </c>
    </row>
    <row r="96" spans="1:16">
      <c r="A96" s="5">
        <v>95</v>
      </c>
      <c r="B96" s="7" t="s">
        <v>19</v>
      </c>
      <c r="C96" s="8">
        <v>4</v>
      </c>
      <c r="D96" s="9"/>
      <c r="N96" s="16" t="s">
        <v>89</v>
      </c>
      <c r="O96" s="16"/>
      <c r="P96" s="16" t="s">
        <v>89</v>
      </c>
    </row>
    <row r="97" spans="1:16">
      <c r="A97" s="5">
        <v>96</v>
      </c>
      <c r="B97" s="7" t="s">
        <v>18</v>
      </c>
      <c r="C97" s="5">
        <f>COUNTIF($B$1:B97,B97)</f>
        <v>14</v>
      </c>
      <c r="D97" s="9"/>
      <c r="E97" s="10" t="s">
        <v>87</v>
      </c>
      <c r="F97" s="10" t="s">
        <v>144</v>
      </c>
      <c r="G97" s="17"/>
      <c r="H97" s="10"/>
      <c r="I97" s="17"/>
      <c r="J97" s="17"/>
      <c r="K97" s="17"/>
      <c r="L97" s="17"/>
      <c r="M97" s="17"/>
      <c r="N97" s="16" t="s">
        <v>193</v>
      </c>
      <c r="O97" s="16"/>
      <c r="P97" s="16" t="s">
        <v>169</v>
      </c>
    </row>
    <row r="98" spans="1:16">
      <c r="A98" s="5">
        <v>97</v>
      </c>
      <c r="B98" s="7" t="s">
        <v>46</v>
      </c>
      <c r="C98" s="8" t="s">
        <v>68</v>
      </c>
      <c r="D98" s="9"/>
      <c r="G98" s="17"/>
      <c r="I98" s="10"/>
      <c r="J98" s="10"/>
      <c r="K98" s="10"/>
      <c r="L98" s="17"/>
      <c r="M98" s="17"/>
      <c r="N98" s="16" t="s">
        <v>89</v>
      </c>
      <c r="O98" s="16"/>
      <c r="P98" s="16" t="s">
        <v>89</v>
      </c>
    </row>
    <row r="99" spans="1:16">
      <c r="A99" s="5">
        <v>98</v>
      </c>
      <c r="B99" s="7" t="s">
        <v>47</v>
      </c>
      <c r="C99" s="5">
        <f>COUNTIF($B$1:B99,B99)</f>
        <v>1</v>
      </c>
      <c r="D99" s="9"/>
      <c r="E99" s="10" t="s">
        <v>125</v>
      </c>
      <c r="F99" s="17" t="s">
        <v>48</v>
      </c>
      <c r="G99" s="17"/>
      <c r="H99" s="10">
        <v>3</v>
      </c>
      <c r="I99" s="10"/>
      <c r="J99" s="10"/>
      <c r="K99" s="10"/>
      <c r="L99" s="17"/>
      <c r="M99" s="17"/>
      <c r="N99" s="16" t="s">
        <v>89</v>
      </c>
      <c r="O99" s="16"/>
      <c r="P99" s="16" t="s">
        <v>194</v>
      </c>
    </row>
    <row r="100" spans="1:16">
      <c r="A100" s="5">
        <v>99</v>
      </c>
      <c r="B100" s="7" t="s">
        <v>46</v>
      </c>
      <c r="C100" s="8" t="s">
        <v>49</v>
      </c>
      <c r="D100" s="9"/>
      <c r="E100" s="10"/>
      <c r="F100" s="17"/>
      <c r="G100" s="17"/>
      <c r="H100" s="10"/>
      <c r="I100" s="10"/>
      <c r="J100" s="10"/>
      <c r="K100" s="10"/>
      <c r="L100" s="17"/>
      <c r="M100" s="17"/>
      <c r="N100" s="16" t="s">
        <v>89</v>
      </c>
      <c r="O100" s="16"/>
      <c r="P100" s="16" t="s">
        <v>89</v>
      </c>
    </row>
    <row r="101" spans="1:16">
      <c r="A101" s="5">
        <v>100</v>
      </c>
      <c r="B101" s="7" t="s">
        <v>58</v>
      </c>
      <c r="C101" s="8" t="s">
        <v>76</v>
      </c>
      <c r="D101" s="9"/>
      <c r="E101" s="10"/>
      <c r="F101" s="17"/>
      <c r="G101" s="17"/>
      <c r="H101" s="10"/>
      <c r="I101" s="10"/>
      <c r="J101" s="10"/>
      <c r="K101" s="10"/>
      <c r="L101" s="17"/>
      <c r="M101" s="17"/>
      <c r="N101" s="16" t="s">
        <v>89</v>
      </c>
      <c r="O101" s="16"/>
      <c r="P101" s="16" t="s">
        <v>89</v>
      </c>
    </row>
    <row r="102" spans="1:16">
      <c r="A102" s="5">
        <v>101</v>
      </c>
      <c r="B102" s="7" t="s">
        <v>24</v>
      </c>
      <c r="C102" s="5">
        <f>COUNTIF($B$1:B102,B102)</f>
        <v>8</v>
      </c>
      <c r="D102" s="9"/>
      <c r="E102" s="10" t="s">
        <v>100</v>
      </c>
      <c r="F102" s="10" t="s">
        <v>126</v>
      </c>
      <c r="G102" s="10" t="s">
        <v>127</v>
      </c>
      <c r="H102" s="17" t="s">
        <v>67</v>
      </c>
      <c r="I102" s="10" t="s">
        <v>160</v>
      </c>
      <c r="J102" s="10" t="s">
        <v>26</v>
      </c>
      <c r="K102" s="10" t="s">
        <v>26</v>
      </c>
      <c r="L102" s="10" t="b">
        <v>1</v>
      </c>
      <c r="M102" s="6" t="s">
        <v>43</v>
      </c>
      <c r="N102" s="16" t="s">
        <v>195</v>
      </c>
      <c r="O102" s="16"/>
      <c r="P102" s="16" t="s">
        <v>185</v>
      </c>
    </row>
    <row r="103" spans="1:16">
      <c r="A103" s="5">
        <v>102</v>
      </c>
      <c r="B103" s="7" t="s">
        <v>16</v>
      </c>
      <c r="C103" s="5">
        <f>COUNTIF($B$1:B103,B103)</f>
        <v>15</v>
      </c>
      <c r="D103" s="9"/>
      <c r="E103" s="10" t="s">
        <v>87</v>
      </c>
      <c r="F103" s="10" t="s">
        <v>145</v>
      </c>
      <c r="G103" s="10"/>
      <c r="H103" s="17"/>
      <c r="I103" s="10"/>
      <c r="J103" s="10"/>
      <c r="K103" s="10"/>
      <c r="L103" s="10"/>
      <c r="N103" s="16" t="s">
        <v>196</v>
      </c>
      <c r="O103" s="16"/>
      <c r="P103" s="16" t="s">
        <v>169</v>
      </c>
    </row>
    <row r="104" spans="1:16">
      <c r="A104" s="5">
        <v>103</v>
      </c>
      <c r="B104" s="7" t="s">
        <v>46</v>
      </c>
      <c r="C104" s="8" t="s">
        <v>155</v>
      </c>
      <c r="D104" s="9"/>
      <c r="G104" s="10"/>
      <c r="H104" s="17"/>
      <c r="I104" s="10"/>
      <c r="J104" s="10"/>
      <c r="K104" s="10"/>
      <c r="L104" s="10"/>
      <c r="N104" s="16" t="s">
        <v>89</v>
      </c>
      <c r="O104" s="16"/>
      <c r="P104" s="16" t="s">
        <v>89</v>
      </c>
    </row>
    <row r="105" spans="1:16">
      <c r="A105" s="5">
        <v>104</v>
      </c>
      <c r="B105" s="7" t="s">
        <v>47</v>
      </c>
      <c r="C105" s="5">
        <f>COUNTIF($B$1:B105,B105)</f>
        <v>2</v>
      </c>
      <c r="D105" s="12"/>
      <c r="E105" s="10" t="s">
        <v>128</v>
      </c>
      <c r="F105" s="17" t="s">
        <v>81</v>
      </c>
      <c r="G105" s="10"/>
      <c r="H105" s="17"/>
      <c r="I105" s="10"/>
      <c r="J105" s="10"/>
      <c r="K105" s="10"/>
      <c r="L105" s="10"/>
      <c r="N105" s="16" t="s">
        <v>89</v>
      </c>
      <c r="O105" s="16"/>
      <c r="P105" s="16" t="s">
        <v>197</v>
      </c>
    </row>
    <row r="106" spans="1:16">
      <c r="A106" s="5">
        <v>105</v>
      </c>
      <c r="B106" s="7" t="s">
        <v>46</v>
      </c>
      <c r="C106" s="8" t="s">
        <v>49</v>
      </c>
      <c r="D106" s="9"/>
      <c r="E106" s="10"/>
      <c r="F106" s="17"/>
      <c r="G106" s="10"/>
      <c r="H106" s="17"/>
      <c r="I106" s="10"/>
      <c r="J106" s="10"/>
      <c r="K106" s="10"/>
      <c r="L106" s="10"/>
      <c r="N106" s="16" t="s">
        <v>89</v>
      </c>
      <c r="O106" s="16"/>
      <c r="P106" s="16" t="s">
        <v>89</v>
      </c>
    </row>
    <row r="107" spans="1:16">
      <c r="A107" s="5">
        <v>106</v>
      </c>
      <c r="B107" s="7" t="s">
        <v>33</v>
      </c>
      <c r="C107" s="12" t="s">
        <v>84</v>
      </c>
      <c r="E107" s="10"/>
      <c r="F107" s="19" t="s">
        <v>84</v>
      </c>
      <c r="G107" s="10"/>
      <c r="H107" s="17"/>
      <c r="I107" s="10"/>
      <c r="J107" s="10"/>
      <c r="K107" s="10"/>
      <c r="L107" s="10"/>
      <c r="N107" s="16" t="s">
        <v>89</v>
      </c>
      <c r="O107" s="16"/>
      <c r="P107" s="16" t="s">
        <v>89</v>
      </c>
    </row>
    <row r="108" spans="1:16">
      <c r="A108" s="5">
        <v>107</v>
      </c>
      <c r="B108" s="7" t="s">
        <v>46</v>
      </c>
      <c r="C108" s="8" t="s">
        <v>156</v>
      </c>
      <c r="D108" s="9"/>
      <c r="G108" s="10"/>
      <c r="H108" s="17"/>
      <c r="I108" s="10"/>
      <c r="J108" s="10"/>
      <c r="K108" s="10"/>
      <c r="L108" s="10"/>
      <c r="N108" s="16" t="s">
        <v>89</v>
      </c>
      <c r="O108" s="16"/>
      <c r="P108" s="16" t="s">
        <v>89</v>
      </c>
    </row>
    <row r="109" spans="1:16">
      <c r="A109" s="5">
        <v>108</v>
      </c>
      <c r="B109" s="7" t="s">
        <v>47</v>
      </c>
      <c r="C109" s="5">
        <f>COUNTIF($B$1:B109,B109)</f>
        <v>3</v>
      </c>
      <c r="D109" s="9"/>
      <c r="E109" s="10" t="s">
        <v>129</v>
      </c>
      <c r="F109" s="20" t="s">
        <v>82</v>
      </c>
      <c r="G109" s="10"/>
      <c r="H109" s="17"/>
      <c r="I109" s="10"/>
      <c r="J109" s="10"/>
      <c r="K109" s="10"/>
      <c r="L109" s="10"/>
      <c r="N109" s="16" t="s">
        <v>89</v>
      </c>
      <c r="O109" s="16"/>
      <c r="P109" s="16" t="s">
        <v>198</v>
      </c>
    </row>
    <row r="110" spans="1:16">
      <c r="A110" s="5">
        <v>109</v>
      </c>
      <c r="B110" s="7" t="s">
        <v>46</v>
      </c>
      <c r="C110" s="8" t="s">
        <v>49</v>
      </c>
      <c r="D110" s="9"/>
      <c r="E110" s="10"/>
      <c r="F110" s="17"/>
      <c r="G110" s="10"/>
      <c r="H110" s="17"/>
      <c r="I110" s="10"/>
      <c r="J110" s="10"/>
      <c r="K110" s="10"/>
      <c r="L110" s="10"/>
      <c r="N110" s="16" t="s">
        <v>89</v>
      </c>
      <c r="O110" s="16"/>
      <c r="P110" s="16" t="s">
        <v>89</v>
      </c>
    </row>
    <row r="111" spans="1:16">
      <c r="A111" s="5">
        <v>110</v>
      </c>
      <c r="B111" s="7" t="s">
        <v>33</v>
      </c>
      <c r="C111" s="12" t="s">
        <v>85</v>
      </c>
      <c r="E111" s="10"/>
      <c r="F111" s="19" t="s">
        <v>85</v>
      </c>
      <c r="G111" s="10"/>
      <c r="H111" s="17"/>
      <c r="I111" s="10"/>
      <c r="J111" s="10"/>
      <c r="K111" s="10"/>
      <c r="L111" s="10"/>
      <c r="N111" s="16" t="s">
        <v>89</v>
      </c>
      <c r="O111" s="16"/>
      <c r="P111" s="16" t="s">
        <v>89</v>
      </c>
    </row>
    <row r="112" spans="1:16">
      <c r="A112" s="5">
        <v>111</v>
      </c>
      <c r="B112" s="7" t="s">
        <v>24</v>
      </c>
      <c r="C112" s="5">
        <f>COUNTIF($B$1:B112,B112)</f>
        <v>9</v>
      </c>
      <c r="D112" s="9"/>
      <c r="E112" s="10" t="s">
        <v>100</v>
      </c>
      <c r="F112" s="10" t="s">
        <v>130</v>
      </c>
      <c r="G112" s="10" t="s">
        <v>131</v>
      </c>
      <c r="H112" s="17" t="s">
        <v>153</v>
      </c>
      <c r="I112" s="10" t="s">
        <v>160</v>
      </c>
      <c r="J112" s="10" t="s">
        <v>26</v>
      </c>
      <c r="K112" s="10" t="s">
        <v>26</v>
      </c>
      <c r="L112" s="10" t="b">
        <v>1</v>
      </c>
      <c r="M112" s="6" t="s">
        <v>43</v>
      </c>
      <c r="N112" s="16" t="s">
        <v>199</v>
      </c>
      <c r="O112" s="16"/>
      <c r="P112" s="16" t="s">
        <v>185</v>
      </c>
    </row>
    <row r="113" spans="1:16">
      <c r="A113" s="5">
        <v>112</v>
      </c>
      <c r="B113" s="7" t="s">
        <v>16</v>
      </c>
      <c r="C113" s="5">
        <f>COUNTIF($B$1:B113,B113)</f>
        <v>16</v>
      </c>
      <c r="D113" s="9"/>
      <c r="E113" s="10" t="s">
        <v>87</v>
      </c>
      <c r="F113" s="10" t="s">
        <v>132</v>
      </c>
      <c r="G113" s="17" t="s">
        <v>89</v>
      </c>
      <c r="H113" s="10"/>
      <c r="I113" s="10"/>
      <c r="J113" s="10"/>
      <c r="K113" s="10"/>
      <c r="L113" s="17"/>
      <c r="M113" s="17"/>
      <c r="N113" s="16" t="s">
        <v>200</v>
      </c>
      <c r="O113" s="16"/>
      <c r="P113" s="16" t="s">
        <v>169</v>
      </c>
    </row>
    <row r="114" spans="1:16" ht="27">
      <c r="A114" s="5">
        <v>113</v>
      </c>
      <c r="B114" s="7" t="s">
        <v>24</v>
      </c>
      <c r="C114" s="5">
        <f>COUNTIF($B$1:B114,B114)</f>
        <v>10</v>
      </c>
      <c r="D114" s="9"/>
      <c r="E114" s="10" t="s">
        <v>100</v>
      </c>
      <c r="F114" s="21" t="s">
        <v>133</v>
      </c>
      <c r="G114" s="10" t="s">
        <v>134</v>
      </c>
      <c r="H114" s="17" t="s">
        <v>154</v>
      </c>
      <c r="I114" s="10" t="s">
        <v>161</v>
      </c>
      <c r="J114" s="10" t="s">
        <v>26</v>
      </c>
      <c r="K114" s="10" t="s">
        <v>26</v>
      </c>
      <c r="L114" s="10" t="b">
        <v>1</v>
      </c>
      <c r="M114" s="6" t="s">
        <v>43</v>
      </c>
      <c r="N114" s="16" t="s">
        <v>201</v>
      </c>
      <c r="O114" s="16"/>
      <c r="P114" s="16" t="s">
        <v>185</v>
      </c>
    </row>
    <row r="115" spans="1:16">
      <c r="A115" s="5">
        <v>114</v>
      </c>
      <c r="B115" s="7" t="s">
        <v>16</v>
      </c>
      <c r="C115" s="5">
        <f>COUNTIF($B$1:B115,B115)</f>
        <v>17</v>
      </c>
      <c r="D115" s="9"/>
      <c r="E115" s="10" t="s">
        <v>87</v>
      </c>
      <c r="F115" s="10" t="s">
        <v>135</v>
      </c>
      <c r="G115" s="17" t="s">
        <v>89</v>
      </c>
      <c r="H115" s="10"/>
      <c r="I115" s="10"/>
      <c r="J115" s="10"/>
      <c r="K115" s="10"/>
      <c r="L115" s="17"/>
      <c r="M115" s="17"/>
      <c r="N115" s="16" t="s">
        <v>202</v>
      </c>
      <c r="O115" s="16"/>
      <c r="P115" s="16" t="s">
        <v>169</v>
      </c>
    </row>
    <row r="116" spans="1:16">
      <c r="A116" s="5">
        <v>115</v>
      </c>
      <c r="B116" s="7" t="s">
        <v>44</v>
      </c>
      <c r="C116" s="8" t="s">
        <v>166</v>
      </c>
      <c r="D116" s="9"/>
      <c r="E116" s="10"/>
      <c r="F116" s="10"/>
      <c r="G116" s="17"/>
      <c r="H116" s="10"/>
      <c r="I116" s="10"/>
      <c r="J116" s="10"/>
      <c r="K116" s="10"/>
      <c r="L116" s="17"/>
      <c r="M116" s="17"/>
      <c r="N116" s="16"/>
      <c r="O116" s="16"/>
      <c r="P116" s="16"/>
    </row>
    <row r="117" spans="1:16">
      <c r="A117" s="5">
        <v>116</v>
      </c>
      <c r="B117" s="7" t="s">
        <v>19</v>
      </c>
      <c r="C117" s="8">
        <v>1.33</v>
      </c>
      <c r="D117" s="9"/>
      <c r="E117" s="10"/>
      <c r="F117" s="10"/>
      <c r="G117" s="17"/>
      <c r="H117" s="10"/>
      <c r="I117" s="10"/>
      <c r="J117" s="10"/>
      <c r="K117" s="10"/>
      <c r="L117" s="17"/>
      <c r="M117" s="17"/>
      <c r="N117" s="16"/>
      <c r="O117" s="16"/>
      <c r="P117" s="16"/>
    </row>
    <row r="118" spans="1:16">
      <c r="A118" s="5">
        <v>117</v>
      </c>
      <c r="B118" s="7" t="s">
        <v>16</v>
      </c>
      <c r="C118" s="5">
        <f>COUNTIF($B$1:B118,B118)</f>
        <v>18</v>
      </c>
      <c r="D118" s="9"/>
      <c r="E118" s="10" t="s">
        <v>87</v>
      </c>
      <c r="F118" s="10" t="s">
        <v>136</v>
      </c>
      <c r="G118" s="17" t="s">
        <v>89</v>
      </c>
      <c r="H118" s="10"/>
      <c r="I118" s="17"/>
      <c r="J118" s="17"/>
      <c r="K118" s="17"/>
      <c r="L118" s="17"/>
      <c r="M118" s="17"/>
      <c r="N118" s="16" t="s">
        <v>203</v>
      </c>
      <c r="O118" s="16"/>
      <c r="P118" s="16" t="s">
        <v>169</v>
      </c>
    </row>
    <row r="119" spans="1:16">
      <c r="A119" s="5">
        <v>118</v>
      </c>
      <c r="B119" s="7" t="s">
        <v>55</v>
      </c>
      <c r="C119" s="5" t="s">
        <v>57</v>
      </c>
      <c r="D119" s="9"/>
      <c r="E119" s="10"/>
      <c r="F119" s="10"/>
      <c r="G119" s="17"/>
      <c r="H119" s="10"/>
      <c r="I119" s="17"/>
      <c r="J119" s="17"/>
      <c r="K119" s="17"/>
      <c r="L119" s="17"/>
      <c r="M119" s="17"/>
      <c r="N119" s="16" t="s">
        <v>89</v>
      </c>
      <c r="O119" s="16"/>
      <c r="P119" s="16" t="s">
        <v>89</v>
      </c>
    </row>
    <row r="120" spans="1:16">
      <c r="A120" s="5">
        <v>119</v>
      </c>
      <c r="B120" s="7" t="s">
        <v>50</v>
      </c>
      <c r="C120" s="8" t="s">
        <v>15</v>
      </c>
      <c r="D120" s="9"/>
      <c r="E120" s="17"/>
      <c r="F120" s="17"/>
      <c r="G120" s="10"/>
      <c r="H120" s="10"/>
      <c r="I120" s="10"/>
      <c r="J120" s="10"/>
      <c r="K120" s="10"/>
      <c r="L120" s="17"/>
      <c r="M120" s="17"/>
      <c r="N120" s="16" t="s">
        <v>89</v>
      </c>
      <c r="O120" s="16"/>
      <c r="P120" s="16" t="s">
        <v>89</v>
      </c>
    </row>
    <row r="121" spans="1:16">
      <c r="A121" s="5">
        <v>120</v>
      </c>
      <c r="B121" s="7" t="s">
        <v>17</v>
      </c>
      <c r="C121" s="5">
        <f>COUNTIF($B$1:B121,B121)</f>
        <v>13</v>
      </c>
      <c r="D121" s="9"/>
      <c r="E121" s="17"/>
      <c r="F121" s="10"/>
      <c r="G121" s="10" t="s">
        <v>137</v>
      </c>
      <c r="H121" s="10">
        <v>1024</v>
      </c>
      <c r="I121" s="10">
        <v>1024</v>
      </c>
      <c r="J121" s="10">
        <v>1</v>
      </c>
      <c r="K121" s="10"/>
      <c r="L121" s="10"/>
      <c r="M121" s="10"/>
      <c r="N121" s="16" t="s">
        <v>89</v>
      </c>
      <c r="O121" s="16"/>
      <c r="P121" s="16" t="s">
        <v>89</v>
      </c>
    </row>
    <row r="122" spans="1:16">
      <c r="A122" s="5">
        <v>121</v>
      </c>
      <c r="B122" s="7" t="s">
        <v>20</v>
      </c>
      <c r="C122" s="13" t="s">
        <v>77</v>
      </c>
      <c r="D122" s="9"/>
      <c r="E122" s="17"/>
      <c r="F122" s="10"/>
      <c r="G122" s="10"/>
      <c r="H122" s="10"/>
      <c r="I122" s="10"/>
      <c r="J122" s="10"/>
      <c r="K122" s="10"/>
      <c r="L122" s="10"/>
      <c r="M122" s="10"/>
      <c r="N122" s="16" t="s">
        <v>89</v>
      </c>
      <c r="O122" s="16"/>
      <c r="P122" s="16" t="s">
        <v>89</v>
      </c>
    </row>
    <row r="123" spans="1:16">
      <c r="A123" s="5">
        <v>122</v>
      </c>
      <c r="B123" s="7" t="s">
        <v>51</v>
      </c>
      <c r="C123" s="5">
        <f>COUNTIF($B$1:B123,B123)</f>
        <v>19</v>
      </c>
      <c r="D123" s="9"/>
      <c r="E123" s="10" t="s">
        <v>87</v>
      </c>
      <c r="F123" s="10" t="s">
        <v>138</v>
      </c>
      <c r="G123" s="17"/>
      <c r="H123" s="10"/>
      <c r="I123" s="10"/>
      <c r="J123" s="10"/>
      <c r="K123" s="10"/>
      <c r="L123" s="10"/>
      <c r="M123" s="10"/>
      <c r="N123" s="16" t="s">
        <v>204</v>
      </c>
      <c r="O123" s="16"/>
      <c r="P123" s="16" t="s">
        <v>169</v>
      </c>
    </row>
    <row r="124" spans="1:16">
      <c r="A124" s="5">
        <v>123</v>
      </c>
      <c r="B124" s="7" t="s">
        <v>52</v>
      </c>
      <c r="C124" s="8">
        <v>2</v>
      </c>
      <c r="D124" s="9"/>
      <c r="E124" s="10"/>
      <c r="F124" s="10"/>
      <c r="G124" s="17"/>
      <c r="H124" s="17"/>
      <c r="I124" s="17"/>
      <c r="J124" s="17"/>
      <c r="K124" s="10"/>
      <c r="L124" s="17"/>
      <c r="M124" s="17"/>
      <c r="N124" s="16" t="s">
        <v>89</v>
      </c>
      <c r="O124" s="16"/>
      <c r="P124" s="16" t="s">
        <v>89</v>
      </c>
    </row>
    <row r="125" spans="1:16">
      <c r="A125" s="5">
        <v>124</v>
      </c>
      <c r="B125" s="7" t="s">
        <v>20</v>
      </c>
      <c r="C125" s="13" t="s">
        <v>78</v>
      </c>
      <c r="D125" s="9"/>
      <c r="E125" s="10"/>
      <c r="F125" s="10"/>
      <c r="G125" s="10"/>
      <c r="H125" s="10"/>
      <c r="I125" s="10"/>
      <c r="J125" s="10"/>
      <c r="K125" s="10"/>
      <c r="L125" s="17"/>
      <c r="M125" s="17"/>
      <c r="N125" s="16" t="s">
        <v>89</v>
      </c>
      <c r="O125" s="16"/>
      <c r="P125" s="16" t="s">
        <v>89</v>
      </c>
    </row>
    <row r="126" spans="1:16">
      <c r="A126" s="5">
        <v>125</v>
      </c>
      <c r="B126" s="7" t="s">
        <v>53</v>
      </c>
      <c r="C126" s="5">
        <f>COUNTIF($B$1:B126,B126)</f>
        <v>14</v>
      </c>
      <c r="D126" s="9"/>
      <c r="E126" s="10"/>
      <c r="F126" s="10"/>
      <c r="G126" s="10" t="s">
        <v>139</v>
      </c>
      <c r="H126" s="10">
        <v>1024</v>
      </c>
      <c r="I126" s="10">
        <v>1024</v>
      </c>
      <c r="J126" s="10">
        <v>1</v>
      </c>
      <c r="K126" s="10"/>
      <c r="L126" s="17"/>
      <c r="M126" s="17"/>
      <c r="N126" s="16" t="s">
        <v>89</v>
      </c>
      <c r="O126" s="16"/>
      <c r="P126" s="16" t="s">
        <v>89</v>
      </c>
    </row>
    <row r="127" spans="1:16">
      <c r="A127" s="5">
        <v>126</v>
      </c>
      <c r="B127" s="7" t="s">
        <v>51</v>
      </c>
      <c r="C127" s="5">
        <f>COUNTIF($B$1:B127,B127)</f>
        <v>20</v>
      </c>
      <c r="D127" s="9"/>
      <c r="E127" s="10" t="s">
        <v>87</v>
      </c>
      <c r="F127" s="10" t="s">
        <v>140</v>
      </c>
      <c r="G127" s="17"/>
      <c r="H127" s="10"/>
      <c r="I127" s="10"/>
      <c r="J127" s="10"/>
      <c r="K127" s="10"/>
      <c r="L127" s="17"/>
      <c r="M127" s="17"/>
      <c r="N127" s="16" t="s">
        <v>205</v>
      </c>
      <c r="O127" s="16"/>
      <c r="P127" s="16" t="s">
        <v>169</v>
      </c>
    </row>
    <row r="128" spans="1:16">
      <c r="A128" s="5">
        <v>127</v>
      </c>
      <c r="B128" s="7" t="s">
        <v>19</v>
      </c>
      <c r="C128" s="13">
        <v>2</v>
      </c>
      <c r="D128" s="9"/>
      <c r="E128" s="10"/>
      <c r="F128" s="10"/>
      <c r="G128" s="10"/>
      <c r="H128" s="10"/>
      <c r="I128" s="10"/>
      <c r="J128" s="10"/>
      <c r="K128" s="10"/>
      <c r="L128" s="17"/>
      <c r="M128" s="17"/>
      <c r="N128" s="16" t="s">
        <v>89</v>
      </c>
      <c r="O128" s="16"/>
      <c r="P128" s="16" t="s">
        <v>89</v>
      </c>
    </row>
    <row r="129" spans="1:16">
      <c r="A129" s="5">
        <v>128</v>
      </c>
      <c r="B129" s="7" t="s">
        <v>17</v>
      </c>
      <c r="C129" s="5">
        <f>COUNTIF($B$1:B129,B129)</f>
        <v>15</v>
      </c>
      <c r="D129" s="9"/>
      <c r="E129" s="10"/>
      <c r="F129" s="10"/>
      <c r="G129" s="10" t="s">
        <v>141</v>
      </c>
      <c r="H129" s="10">
        <v>1024</v>
      </c>
      <c r="I129" s="10">
        <v>1024</v>
      </c>
      <c r="J129" s="10">
        <v>1</v>
      </c>
      <c r="K129" s="10"/>
      <c r="L129" s="10"/>
      <c r="M129" s="10"/>
      <c r="N129" s="16" t="s">
        <v>89</v>
      </c>
      <c r="O129" s="16"/>
      <c r="P129" s="16" t="s">
        <v>89</v>
      </c>
    </row>
    <row r="130" spans="1:16">
      <c r="A130" s="5">
        <v>129</v>
      </c>
      <c r="B130" s="7" t="s">
        <v>19</v>
      </c>
      <c r="C130" s="13">
        <v>1</v>
      </c>
      <c r="D130" s="9"/>
      <c r="E130" s="10"/>
      <c r="F130" s="10"/>
      <c r="G130" s="10"/>
      <c r="H130" s="10"/>
      <c r="I130" s="10"/>
      <c r="J130" s="10"/>
      <c r="K130" s="10"/>
      <c r="L130" s="10"/>
      <c r="M130" s="10"/>
      <c r="N130" s="16" t="s">
        <v>89</v>
      </c>
      <c r="O130" s="16"/>
      <c r="P130" s="16" t="s">
        <v>89</v>
      </c>
    </row>
    <row r="131" spans="1:16">
      <c r="A131" s="5">
        <v>130</v>
      </c>
      <c r="B131" s="7" t="s">
        <v>20</v>
      </c>
      <c r="C131" s="8" t="s">
        <v>79</v>
      </c>
      <c r="D131" s="9"/>
      <c r="E131" s="10"/>
      <c r="F131" s="10"/>
      <c r="G131" s="10"/>
      <c r="H131" s="10"/>
      <c r="I131" s="10"/>
      <c r="J131" s="10"/>
      <c r="K131" s="10"/>
      <c r="L131" s="17"/>
      <c r="M131" s="17"/>
      <c r="N131" s="16" t="s">
        <v>89</v>
      </c>
      <c r="O131" s="16"/>
      <c r="P131" s="16" t="s">
        <v>89</v>
      </c>
    </row>
    <row r="132" spans="1:16">
      <c r="A132" s="5">
        <v>131</v>
      </c>
      <c r="B132" s="7" t="s">
        <v>19</v>
      </c>
      <c r="C132" s="13">
        <v>5</v>
      </c>
      <c r="D132" s="9"/>
      <c r="E132" s="10"/>
      <c r="F132" s="10"/>
      <c r="G132" s="17"/>
      <c r="H132" s="10"/>
      <c r="I132" s="10"/>
      <c r="J132" s="10"/>
      <c r="K132" s="10"/>
      <c r="L132" s="17"/>
      <c r="M132" s="17"/>
      <c r="N132" s="16" t="s">
        <v>89</v>
      </c>
      <c r="O132" s="16"/>
      <c r="P132" s="16" t="s">
        <v>89</v>
      </c>
    </row>
    <row r="133" spans="1:16">
      <c r="A133" s="5">
        <v>132</v>
      </c>
      <c r="B133" s="7" t="s">
        <v>17</v>
      </c>
      <c r="C133" s="5">
        <f>COUNTIF($B$1:B133,B133)</f>
        <v>16</v>
      </c>
      <c r="D133" s="9"/>
      <c r="E133" s="10"/>
      <c r="F133" s="10"/>
      <c r="G133" s="10" t="s">
        <v>141</v>
      </c>
      <c r="H133" s="10">
        <v>1024</v>
      </c>
      <c r="I133" s="10">
        <v>1024</v>
      </c>
      <c r="J133" s="10">
        <v>0</v>
      </c>
      <c r="K133" s="10"/>
      <c r="L133" s="10"/>
      <c r="M133" s="10"/>
      <c r="N133" s="16" t="s">
        <v>89</v>
      </c>
      <c r="O133" s="16"/>
      <c r="P133" s="16" t="s">
        <v>89</v>
      </c>
    </row>
    <row r="134" spans="1:16">
      <c r="A134" s="5">
        <v>133</v>
      </c>
      <c r="B134" s="7" t="s">
        <v>19</v>
      </c>
      <c r="C134" s="13">
        <v>2</v>
      </c>
      <c r="D134" s="9"/>
      <c r="E134" s="10"/>
      <c r="F134" s="10"/>
      <c r="G134" s="10"/>
      <c r="H134" s="10"/>
      <c r="I134" s="10"/>
      <c r="J134" s="10"/>
      <c r="K134" s="10"/>
      <c r="L134" s="10"/>
      <c r="M134" s="10"/>
      <c r="N134" s="16"/>
      <c r="O134" s="16"/>
      <c r="P134" s="16"/>
    </row>
    <row r="135" spans="1:16">
      <c r="A135" s="5">
        <v>134</v>
      </c>
      <c r="B135" s="7" t="s">
        <v>28</v>
      </c>
      <c r="C135" s="8" t="s">
        <v>158</v>
      </c>
      <c r="D135" s="9"/>
      <c r="E135" s="17"/>
      <c r="F135" s="17"/>
      <c r="G135" s="17"/>
      <c r="H135" s="17"/>
      <c r="I135" s="10"/>
      <c r="J135" s="10"/>
      <c r="K135" s="10"/>
      <c r="L135" s="17"/>
      <c r="M135" s="17"/>
      <c r="N135" s="16" t="s">
        <v>89</v>
      </c>
      <c r="O135" s="16"/>
    </row>
    <row r="136" spans="1:16">
      <c r="B136" s="7"/>
      <c r="C136" s="9"/>
      <c r="D136" s="9"/>
      <c r="E136" s="10"/>
      <c r="F136" s="17"/>
      <c r="G136" s="10"/>
      <c r="H136" s="17"/>
      <c r="I136" s="17"/>
      <c r="J136" s="17"/>
      <c r="K136" s="17"/>
      <c r="L136" s="17"/>
      <c r="M136" s="17"/>
      <c r="N136" s="11"/>
      <c r="O136" s="16"/>
    </row>
  </sheetData>
  <autoFilter ref="B1:B136" xr:uid="{00000000-0001-0000-0000-000000000000}"/>
  <phoneticPr fontId="3" type="noConversion"/>
  <conditionalFormatting sqref="F47:F50">
    <cfRule type="cellIs" dxfId="175" priority="228" operator="equal">
      <formula>"Speaking"</formula>
    </cfRule>
    <cfRule type="cellIs" dxfId="174" priority="229" operator="equal">
      <formula>"Subtitle"</formula>
    </cfRule>
    <cfRule type="cellIs" dxfId="173" priority="230" operator="equal">
      <formula>"SFX"</formula>
    </cfRule>
    <cfRule type="cellIs" dxfId="172" priority="231" operator="equal">
      <formula>"BGM"</formula>
    </cfRule>
  </conditionalFormatting>
  <conditionalFormatting sqref="B137:B1048576 B44:B59 B62 B1:B31 B64:B135">
    <cfRule type="cellIs" dxfId="171" priority="215" operator="equal">
      <formula>"Notice"</formula>
    </cfRule>
    <cfRule type="cellIs" dxfId="170" priority="216" operator="equal">
      <formula>"Transform"</formula>
    </cfRule>
    <cfRule type="cellIs" dxfId="169" priority="217" operator="equal">
      <formula>"JustChangeAnimation"</formula>
    </cfRule>
    <cfRule type="cellIs" dxfId="168" priority="218" operator="equal">
      <formula>"moveLevel"</formula>
    </cfRule>
    <cfRule type="containsText" dxfId="167" priority="219" operator="containsText" text="Choice">
      <formula>NOT(ISERROR(SEARCH("Choice",B1)))</formula>
    </cfRule>
    <cfRule type="cellIs" dxfId="166" priority="220" operator="equal">
      <formula>"Touch"</formula>
    </cfRule>
    <cfRule type="cellIs" dxfId="165" priority="221" operator="equal">
      <formula>"LevelObject"</formula>
    </cfRule>
    <cfRule type="cellIs" dxfId="164" priority="222" operator="equal">
      <formula>"Screen"</formula>
    </cfRule>
    <cfRule type="cellIs" dxfId="163" priority="223" operator="equal">
      <formula>"camera_fade"</formula>
    </cfRule>
    <cfRule type="cellIs" dxfId="162" priority="224" operator="equal">
      <formula>"Speaking"</formula>
    </cfRule>
    <cfRule type="cellIs" dxfId="161" priority="225" operator="equal">
      <formula>"Subtitle"</formula>
    </cfRule>
    <cfRule type="cellIs" dxfId="160" priority="226" operator="equal">
      <formula>"SFX"</formula>
    </cfRule>
    <cfRule type="cellIs" dxfId="159" priority="227" operator="equal">
      <formula>"BGM"</formula>
    </cfRule>
    <cfRule type="cellIs" dxfId="158" priority="232" operator="equal">
      <formula>"AMB"</formula>
    </cfRule>
  </conditionalFormatting>
  <conditionalFormatting sqref="C131">
    <cfRule type="cellIs" dxfId="157" priority="211" operator="equal">
      <formula>"Speaking"</formula>
    </cfRule>
    <cfRule type="cellIs" dxfId="156" priority="212" operator="equal">
      <formula>"SFX"</formula>
    </cfRule>
    <cfRule type="cellIs" dxfId="155" priority="213" operator="equal">
      <formula>"Subtitle"</formula>
    </cfRule>
    <cfRule type="cellIs" dxfId="154" priority="214" operator="equal">
      <formula>"BGM"</formula>
    </cfRule>
  </conditionalFormatting>
  <conditionalFormatting sqref="B32:B35">
    <cfRule type="cellIs" dxfId="153" priority="141" operator="equal">
      <formula>"Notice"</formula>
    </cfRule>
    <cfRule type="cellIs" dxfId="152" priority="142" operator="equal">
      <formula>"Transform"</formula>
    </cfRule>
    <cfRule type="cellIs" dxfId="151" priority="143" operator="equal">
      <formula>"JustChangeAnimation"</formula>
    </cfRule>
    <cfRule type="cellIs" dxfId="150" priority="144" operator="equal">
      <formula>"moveLevel"</formula>
    </cfRule>
    <cfRule type="containsText" dxfId="149" priority="145" operator="containsText" text="Choice">
      <formula>NOT(ISERROR(SEARCH("Choice",B32)))</formula>
    </cfRule>
    <cfRule type="cellIs" dxfId="148" priority="146" operator="equal">
      <formula>"Touch"</formula>
    </cfRule>
    <cfRule type="cellIs" dxfId="147" priority="147" operator="equal">
      <formula>"LevelObject"</formula>
    </cfRule>
    <cfRule type="cellIs" dxfId="146" priority="148" operator="equal">
      <formula>"Screen"</formula>
    </cfRule>
    <cfRule type="cellIs" dxfId="145" priority="149" operator="equal">
      <formula>"camera_fade"</formula>
    </cfRule>
    <cfRule type="cellIs" dxfId="144" priority="150" operator="equal">
      <formula>"Speaking"</formula>
    </cfRule>
    <cfRule type="cellIs" dxfId="143" priority="151" operator="equal">
      <formula>"Subtitle"</formula>
    </cfRule>
    <cfRule type="cellIs" dxfId="142" priority="152" operator="equal">
      <formula>"SFX"</formula>
    </cfRule>
    <cfRule type="cellIs" dxfId="141" priority="153" operator="equal">
      <formula>"BGM"</formula>
    </cfRule>
    <cfRule type="cellIs" dxfId="140" priority="154" operator="equal">
      <formula>"AMB"</formula>
    </cfRule>
  </conditionalFormatting>
  <conditionalFormatting sqref="B36">
    <cfRule type="cellIs" dxfId="139" priority="127" operator="equal">
      <formula>"Notice"</formula>
    </cfRule>
    <cfRule type="cellIs" dxfId="138" priority="128" operator="equal">
      <formula>"Transform"</formula>
    </cfRule>
    <cfRule type="cellIs" dxfId="137" priority="129" operator="equal">
      <formula>"JustChangeAnimation"</formula>
    </cfRule>
    <cfRule type="cellIs" dxfId="136" priority="130" operator="equal">
      <formula>"moveLevel"</formula>
    </cfRule>
    <cfRule type="containsText" dxfId="135" priority="131" operator="containsText" text="Choice">
      <formula>NOT(ISERROR(SEARCH("Choice",B36)))</formula>
    </cfRule>
    <cfRule type="cellIs" dxfId="134" priority="132" operator="equal">
      <formula>"Touch"</formula>
    </cfRule>
    <cfRule type="cellIs" dxfId="133" priority="133" operator="equal">
      <formula>"LevelObject"</formula>
    </cfRule>
    <cfRule type="cellIs" dxfId="132" priority="134" operator="equal">
      <formula>"Screen"</formula>
    </cfRule>
    <cfRule type="cellIs" dxfId="131" priority="135" operator="equal">
      <formula>"camera_fade"</formula>
    </cfRule>
    <cfRule type="cellIs" dxfId="130" priority="136" operator="equal">
      <formula>"Speaking"</formula>
    </cfRule>
    <cfRule type="cellIs" dxfId="129" priority="137" operator="equal">
      <formula>"Subtitle"</formula>
    </cfRule>
    <cfRule type="cellIs" dxfId="128" priority="138" operator="equal">
      <formula>"SFX"</formula>
    </cfRule>
    <cfRule type="cellIs" dxfId="127" priority="139" operator="equal">
      <formula>"BGM"</formula>
    </cfRule>
    <cfRule type="cellIs" dxfId="126" priority="140" operator="equal">
      <formula>"AMB"</formula>
    </cfRule>
  </conditionalFormatting>
  <conditionalFormatting sqref="B37">
    <cfRule type="cellIs" dxfId="125" priority="113" operator="equal">
      <formula>"Notice"</formula>
    </cfRule>
    <cfRule type="cellIs" dxfId="124" priority="114" operator="equal">
      <formula>"Transform"</formula>
    </cfRule>
    <cfRule type="cellIs" dxfId="123" priority="115" operator="equal">
      <formula>"JustChangeAnimation"</formula>
    </cfRule>
    <cfRule type="cellIs" dxfId="122" priority="116" operator="equal">
      <formula>"moveLevel"</formula>
    </cfRule>
    <cfRule type="containsText" dxfId="121" priority="117" operator="containsText" text="Choice">
      <formula>NOT(ISERROR(SEARCH("Choice",B37)))</formula>
    </cfRule>
    <cfRule type="cellIs" dxfId="120" priority="118" operator="equal">
      <formula>"Touch"</formula>
    </cfRule>
    <cfRule type="cellIs" dxfId="119" priority="119" operator="equal">
      <formula>"LevelObject"</formula>
    </cfRule>
    <cfRule type="cellIs" dxfId="118" priority="120" operator="equal">
      <formula>"Screen"</formula>
    </cfRule>
    <cfRule type="cellIs" dxfId="117" priority="121" operator="equal">
      <formula>"camera_fade"</formula>
    </cfRule>
    <cfRule type="cellIs" dxfId="116" priority="122" operator="equal">
      <formula>"Speaking"</formula>
    </cfRule>
    <cfRule type="cellIs" dxfId="115" priority="123" operator="equal">
      <formula>"Subtitle"</formula>
    </cfRule>
    <cfRule type="cellIs" dxfId="114" priority="124" operator="equal">
      <formula>"SFX"</formula>
    </cfRule>
    <cfRule type="cellIs" dxfId="113" priority="125" operator="equal">
      <formula>"BGM"</formula>
    </cfRule>
    <cfRule type="cellIs" dxfId="112" priority="126" operator="equal">
      <formula>"AMB"</formula>
    </cfRule>
  </conditionalFormatting>
  <conditionalFormatting sqref="B41">
    <cfRule type="cellIs" dxfId="111" priority="99" operator="equal">
      <formula>"Notice"</formula>
    </cfRule>
    <cfRule type="cellIs" dxfId="110" priority="100" operator="equal">
      <formula>"Transform"</formula>
    </cfRule>
    <cfRule type="cellIs" dxfId="109" priority="101" operator="equal">
      <formula>"JustChangeAnimation"</formula>
    </cfRule>
    <cfRule type="cellIs" dxfId="108" priority="102" operator="equal">
      <formula>"moveLevel"</formula>
    </cfRule>
    <cfRule type="containsText" dxfId="107" priority="103" operator="containsText" text="Choice">
      <formula>NOT(ISERROR(SEARCH("Choice",B41)))</formula>
    </cfRule>
    <cfRule type="cellIs" dxfId="106" priority="104" operator="equal">
      <formula>"Touch"</formula>
    </cfRule>
    <cfRule type="cellIs" dxfId="105" priority="105" operator="equal">
      <formula>"LevelObject"</formula>
    </cfRule>
    <cfRule type="cellIs" dxfId="104" priority="106" operator="equal">
      <formula>"Screen"</formula>
    </cfRule>
    <cfRule type="cellIs" dxfId="103" priority="107" operator="equal">
      <formula>"camera_fade"</formula>
    </cfRule>
    <cfRule type="cellIs" dxfId="102" priority="108" operator="equal">
      <formula>"Speaking"</formula>
    </cfRule>
    <cfRule type="cellIs" dxfId="101" priority="109" operator="equal">
      <formula>"Subtitle"</formula>
    </cfRule>
    <cfRule type="cellIs" dxfId="100" priority="110" operator="equal">
      <formula>"SFX"</formula>
    </cfRule>
    <cfRule type="cellIs" dxfId="99" priority="111" operator="equal">
      <formula>"BGM"</formula>
    </cfRule>
    <cfRule type="cellIs" dxfId="98" priority="112" operator="equal">
      <formula>"AMB"</formula>
    </cfRule>
  </conditionalFormatting>
  <conditionalFormatting sqref="B42">
    <cfRule type="cellIs" dxfId="97" priority="85" operator="equal">
      <formula>"Notice"</formula>
    </cfRule>
    <cfRule type="cellIs" dxfId="96" priority="86" operator="equal">
      <formula>"Transform"</formula>
    </cfRule>
    <cfRule type="cellIs" dxfId="95" priority="87" operator="equal">
      <formula>"JustChangeAnimation"</formula>
    </cfRule>
    <cfRule type="cellIs" dxfId="94" priority="88" operator="equal">
      <formula>"moveLevel"</formula>
    </cfRule>
    <cfRule type="containsText" dxfId="93" priority="89" operator="containsText" text="Choice">
      <formula>NOT(ISERROR(SEARCH("Choice",B42)))</formula>
    </cfRule>
    <cfRule type="cellIs" dxfId="92" priority="90" operator="equal">
      <formula>"Touch"</formula>
    </cfRule>
    <cfRule type="cellIs" dxfId="91" priority="91" operator="equal">
      <formula>"LevelObject"</formula>
    </cfRule>
    <cfRule type="cellIs" dxfId="90" priority="92" operator="equal">
      <formula>"Screen"</formula>
    </cfRule>
    <cfRule type="cellIs" dxfId="89" priority="93" operator="equal">
      <formula>"camera_fade"</formula>
    </cfRule>
    <cfRule type="cellIs" dxfId="88" priority="94" operator="equal">
      <formula>"Speaking"</formula>
    </cfRule>
    <cfRule type="cellIs" dxfId="87" priority="95" operator="equal">
      <formula>"Subtitle"</formula>
    </cfRule>
    <cfRule type="cellIs" dxfId="86" priority="96" operator="equal">
      <formula>"SFX"</formula>
    </cfRule>
    <cfRule type="cellIs" dxfId="85" priority="97" operator="equal">
      <formula>"BGM"</formula>
    </cfRule>
    <cfRule type="cellIs" dxfId="84" priority="98" operator="equal">
      <formula>"AMB"</formula>
    </cfRule>
  </conditionalFormatting>
  <conditionalFormatting sqref="B43">
    <cfRule type="cellIs" dxfId="83" priority="71" operator="equal">
      <formula>"Notice"</formula>
    </cfRule>
    <cfRule type="cellIs" dxfId="82" priority="72" operator="equal">
      <formula>"Transform"</formula>
    </cfRule>
    <cfRule type="cellIs" dxfId="81" priority="73" operator="equal">
      <formula>"JustChangeAnimation"</formula>
    </cfRule>
    <cfRule type="cellIs" dxfId="80" priority="74" operator="equal">
      <formula>"moveLevel"</formula>
    </cfRule>
    <cfRule type="containsText" dxfId="79" priority="75" operator="containsText" text="Choice">
      <formula>NOT(ISERROR(SEARCH("Choice",B43)))</formula>
    </cfRule>
    <cfRule type="cellIs" dxfId="78" priority="76" operator="equal">
      <formula>"Touch"</formula>
    </cfRule>
    <cfRule type="cellIs" dxfId="77" priority="77" operator="equal">
      <formula>"LevelObject"</formula>
    </cfRule>
    <cfRule type="cellIs" dxfId="76" priority="78" operator="equal">
      <formula>"Screen"</formula>
    </cfRule>
    <cfRule type="cellIs" dxfId="75" priority="79" operator="equal">
      <formula>"camera_fade"</formula>
    </cfRule>
    <cfRule type="cellIs" dxfId="74" priority="80" operator="equal">
      <formula>"Speaking"</formula>
    </cfRule>
    <cfRule type="cellIs" dxfId="73" priority="81" operator="equal">
      <formula>"Subtitle"</formula>
    </cfRule>
    <cfRule type="cellIs" dxfId="72" priority="82" operator="equal">
      <formula>"SFX"</formula>
    </cfRule>
    <cfRule type="cellIs" dxfId="71" priority="83" operator="equal">
      <formula>"BGM"</formula>
    </cfRule>
    <cfRule type="cellIs" dxfId="70" priority="84" operator="equal">
      <formula>"AMB"</formula>
    </cfRule>
  </conditionalFormatting>
  <conditionalFormatting sqref="B38">
    <cfRule type="cellIs" dxfId="69" priority="57" operator="equal">
      <formula>"Notice"</formula>
    </cfRule>
    <cfRule type="cellIs" dxfId="68" priority="58" operator="equal">
      <formula>"Transform"</formula>
    </cfRule>
    <cfRule type="cellIs" dxfId="67" priority="59" operator="equal">
      <formula>"JustChangeAnimation"</formula>
    </cfRule>
    <cfRule type="cellIs" dxfId="66" priority="60" operator="equal">
      <formula>"moveLevel"</formula>
    </cfRule>
    <cfRule type="containsText" dxfId="65" priority="61" operator="containsText" text="Choice">
      <formula>NOT(ISERROR(SEARCH("Choice",B38)))</formula>
    </cfRule>
    <cfRule type="cellIs" dxfId="64" priority="62" operator="equal">
      <formula>"Touch"</formula>
    </cfRule>
    <cfRule type="cellIs" dxfId="63" priority="63" operator="equal">
      <formula>"LevelObject"</formula>
    </cfRule>
    <cfRule type="cellIs" dxfId="62" priority="64" operator="equal">
      <formula>"Screen"</formula>
    </cfRule>
    <cfRule type="cellIs" dxfId="61" priority="65" operator="equal">
      <formula>"camera_fade"</formula>
    </cfRule>
    <cfRule type="cellIs" dxfId="60" priority="66" operator="equal">
      <formula>"Speaking"</formula>
    </cfRule>
    <cfRule type="cellIs" dxfId="59" priority="67" operator="equal">
      <formula>"Subtitle"</formula>
    </cfRule>
    <cfRule type="cellIs" dxfId="58" priority="68" operator="equal">
      <formula>"SFX"</formula>
    </cfRule>
    <cfRule type="cellIs" dxfId="57" priority="69" operator="equal">
      <formula>"BGM"</formula>
    </cfRule>
    <cfRule type="cellIs" dxfId="56" priority="70" operator="equal">
      <formula>"AMB"</formula>
    </cfRule>
  </conditionalFormatting>
  <conditionalFormatting sqref="B39">
    <cfRule type="cellIs" dxfId="55" priority="43" operator="equal">
      <formula>"Notice"</formula>
    </cfRule>
    <cfRule type="cellIs" dxfId="54" priority="44" operator="equal">
      <formula>"Transform"</formula>
    </cfRule>
    <cfRule type="cellIs" dxfId="53" priority="45" operator="equal">
      <formula>"JustChangeAnimation"</formula>
    </cfRule>
    <cfRule type="cellIs" dxfId="52" priority="46" operator="equal">
      <formula>"moveLevel"</formula>
    </cfRule>
    <cfRule type="containsText" dxfId="51" priority="47" operator="containsText" text="Choice">
      <formula>NOT(ISERROR(SEARCH("Choice",B39)))</formula>
    </cfRule>
    <cfRule type="cellIs" dxfId="50" priority="48" operator="equal">
      <formula>"Touch"</formula>
    </cfRule>
    <cfRule type="cellIs" dxfId="49" priority="49" operator="equal">
      <formula>"LevelObject"</formula>
    </cfRule>
    <cfRule type="cellIs" dxfId="48" priority="50" operator="equal">
      <formula>"Screen"</formula>
    </cfRule>
    <cfRule type="cellIs" dxfId="47" priority="51" operator="equal">
      <formula>"camera_fade"</formula>
    </cfRule>
    <cfRule type="cellIs" dxfId="46" priority="52" operator="equal">
      <formula>"Speaking"</formula>
    </cfRule>
    <cfRule type="cellIs" dxfId="45" priority="53" operator="equal">
      <formula>"Subtitle"</formula>
    </cfRule>
    <cfRule type="cellIs" dxfId="44" priority="54" operator="equal">
      <formula>"SFX"</formula>
    </cfRule>
    <cfRule type="cellIs" dxfId="43" priority="55" operator="equal">
      <formula>"BGM"</formula>
    </cfRule>
    <cfRule type="cellIs" dxfId="42" priority="56" operator="equal">
      <formula>"AMB"</formula>
    </cfRule>
  </conditionalFormatting>
  <conditionalFormatting sqref="B40">
    <cfRule type="cellIs" dxfId="41" priority="29" operator="equal">
      <formula>"Notice"</formula>
    </cfRule>
    <cfRule type="cellIs" dxfId="40" priority="30" operator="equal">
      <formula>"Transform"</formula>
    </cfRule>
    <cfRule type="cellIs" dxfId="39" priority="31" operator="equal">
      <formula>"JustChangeAnimation"</formula>
    </cfRule>
    <cfRule type="cellIs" dxfId="38" priority="32" operator="equal">
      <formula>"moveLevel"</formula>
    </cfRule>
    <cfRule type="containsText" dxfId="37" priority="33" operator="containsText" text="Choice">
      <formula>NOT(ISERROR(SEARCH("Choice",B40)))</formula>
    </cfRule>
    <cfRule type="cellIs" dxfId="36" priority="34" operator="equal">
      <formula>"Touch"</formula>
    </cfRule>
    <cfRule type="cellIs" dxfId="35" priority="35" operator="equal">
      <formula>"LevelObject"</formula>
    </cfRule>
    <cfRule type="cellIs" dxfId="34" priority="36" operator="equal">
      <formula>"Screen"</formula>
    </cfRule>
    <cfRule type="cellIs" dxfId="33" priority="37" operator="equal">
      <formula>"camera_fade"</formula>
    </cfRule>
    <cfRule type="cellIs" dxfId="32" priority="38" operator="equal">
      <formula>"Speaking"</formula>
    </cfRule>
    <cfRule type="cellIs" dxfId="31" priority="39" operator="equal">
      <formula>"Subtitle"</formula>
    </cfRule>
    <cfRule type="cellIs" dxfId="30" priority="40" operator="equal">
      <formula>"SFX"</formula>
    </cfRule>
    <cfRule type="cellIs" dxfId="29" priority="41" operator="equal">
      <formula>"BGM"</formula>
    </cfRule>
    <cfRule type="cellIs" dxfId="28" priority="42" operator="equal">
      <formula>"AMB"</formula>
    </cfRule>
  </conditionalFormatting>
  <conditionalFormatting sqref="B60:B63">
    <cfRule type="cellIs" dxfId="27" priority="15" operator="equal">
      <formula>"Notice"</formula>
    </cfRule>
    <cfRule type="cellIs" dxfId="26" priority="16" operator="equal">
      <formula>"Transform"</formula>
    </cfRule>
    <cfRule type="cellIs" dxfId="25" priority="17" operator="equal">
      <formula>"JustChangeAnimation"</formula>
    </cfRule>
    <cfRule type="cellIs" dxfId="24" priority="18" operator="equal">
      <formula>"moveLevel"</formula>
    </cfRule>
    <cfRule type="containsText" dxfId="23" priority="19" operator="containsText" text="Choice">
      <formula>NOT(ISERROR(SEARCH("Choice",B60)))</formula>
    </cfRule>
    <cfRule type="cellIs" dxfId="22" priority="20" operator="equal">
      <formula>"Touch"</formula>
    </cfRule>
    <cfRule type="cellIs" dxfId="21" priority="21" operator="equal">
      <formula>"LevelObject"</formula>
    </cfRule>
    <cfRule type="cellIs" dxfId="20" priority="22" operator="equal">
      <formula>"Screen"</formula>
    </cfRule>
    <cfRule type="cellIs" dxfId="19" priority="23" operator="equal">
      <formula>"camera_fade"</formula>
    </cfRule>
    <cfRule type="cellIs" dxfId="18" priority="24" operator="equal">
      <formula>"Speaking"</formula>
    </cfRule>
    <cfRule type="cellIs" dxfId="17" priority="25" operator="equal">
      <formula>"Subtitle"</formula>
    </cfRule>
    <cfRule type="cellIs" dxfId="16" priority="26" operator="equal">
      <formula>"SFX"</formula>
    </cfRule>
    <cfRule type="cellIs" dxfId="15" priority="27" operator="equal">
      <formula>"BGM"</formula>
    </cfRule>
    <cfRule type="cellIs" dxfId="14" priority="28" operator="equal">
      <formula>"AMB"</formula>
    </cfRule>
  </conditionalFormatting>
  <conditionalFormatting sqref="B35">
    <cfRule type="cellIs" dxfId="13" priority="1" operator="equal">
      <formula>"Notice"</formula>
    </cfRule>
    <cfRule type="cellIs" dxfId="12" priority="2" operator="equal">
      <formula>"Transform"</formula>
    </cfRule>
    <cfRule type="cellIs" dxfId="11" priority="3" operator="equal">
      <formula>"JustChangeAnimation"</formula>
    </cfRule>
    <cfRule type="cellIs" dxfId="10" priority="4" operator="equal">
      <formula>"moveLevel"</formula>
    </cfRule>
    <cfRule type="containsText" dxfId="9" priority="5" operator="containsText" text="Choice">
      <formula>NOT(ISERROR(SEARCH("Choice",B35)))</formula>
    </cfRule>
    <cfRule type="cellIs" dxfId="8" priority="6" operator="equal">
      <formula>"Touch"</formula>
    </cfRule>
    <cfRule type="cellIs" dxfId="7" priority="7" operator="equal">
      <formula>"LevelObject"</formula>
    </cfRule>
    <cfRule type="cellIs" dxfId="6" priority="8" operator="equal">
      <formula>"Screen"</formula>
    </cfRule>
    <cfRule type="cellIs" dxfId="5" priority="9" operator="equal">
      <formula>"camera_fade"</formula>
    </cfRule>
    <cfRule type="cellIs" dxfId="4" priority="10" operator="equal">
      <formula>"Speaking"</formula>
    </cfRule>
    <cfRule type="cellIs" dxfId="3" priority="11" operator="equal">
      <formula>"Subtitle"</formula>
    </cfRule>
    <cfRule type="cellIs" dxfId="2" priority="12" operator="equal">
      <formula>"SFX"</formula>
    </cfRule>
    <cfRule type="cellIs" dxfId="1" priority="13" operator="equal">
      <formula>"BGM"</formula>
    </cfRule>
    <cfRule type="cellIs" dxfId="0" priority="14" operator="equal">
      <formula>"AMB"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2CBCF-6C04-4B38-819C-789070436670}">
  <sheetPr codeName="Sheet7"/>
  <dimension ref="A2:D3"/>
  <sheetViews>
    <sheetView workbookViewId="0">
      <selection activeCell="F19" sqref="F19"/>
    </sheetView>
  </sheetViews>
  <sheetFormatPr defaultRowHeight="13.5"/>
  <cols>
    <col min="1" max="16384" width="9" style="1"/>
  </cols>
  <sheetData>
    <row r="2" spans="1:4">
      <c r="A2" s="1" t="s">
        <v>62</v>
      </c>
      <c r="D2" s="1">
        <v>1</v>
      </c>
    </row>
    <row r="3" spans="1:4">
      <c r="A3" s="1" t="s">
        <v>63</v>
      </c>
      <c r="D3" s="1">
        <f>MainForEdit!A87</f>
        <v>86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llSheetsToCSV">
                <anchor moveWithCells="1" sizeWithCells="1">
                  <from>
                    <xdr:col>6</xdr:col>
                    <xdr:colOff>19050</xdr:colOff>
                    <xdr:row>1</xdr:row>
                    <xdr:rowOff>9525</xdr:rowOff>
                  </from>
                  <to>
                    <xdr:col>8</xdr:col>
                    <xdr:colOff>581025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MainForEdit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현우 조</dc:creator>
  <cp:lastModifiedBy>현우 조</cp:lastModifiedBy>
  <dcterms:created xsi:type="dcterms:W3CDTF">2024-01-29T08:12:20Z</dcterms:created>
  <dcterms:modified xsi:type="dcterms:W3CDTF">2024-06-11T07:51:47Z</dcterms:modified>
</cp:coreProperties>
</file>